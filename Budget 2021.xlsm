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"/>
    </mc:Choice>
  </mc:AlternateContent>
  <xr:revisionPtr revIDLastSave="0" documentId="13_ncr:1_{D680E00E-67EA-4B06-AA4D-498A07082EFB}" xr6:coauthVersionLast="46" xr6:coauthVersionMax="46" xr10:uidLastSave="{00000000-0000-0000-0000-000000000000}"/>
  <bookViews>
    <workbookView xWindow="-108" yWindow="-108" windowWidth="23256" windowHeight="12576" tabRatio="778" xr2:uid="{00000000-000D-0000-FFFF-FFFF00000000}"/>
  </bookViews>
  <sheets>
    <sheet name="Monthly Budget" sheetId="1" r:id="rId1"/>
    <sheet name="INPUTS" sheetId="6" r:id="rId2"/>
    <sheet name="Extended Expenses" sheetId="5" r:id="rId3"/>
    <sheet name="Extended Savings" sheetId="13" r:id="rId4"/>
    <sheet name="Extended Investments" sheetId="14" r:id="rId5"/>
    <sheet name="Housing Expenses" sheetId="7" r:id="rId6"/>
    <sheet name="Auto Expenses" sheetId="8" r:id="rId7"/>
    <sheet name="Food Expenses" sheetId="9" r:id="rId8"/>
    <sheet name="Entertainment Expenses" sheetId="11" r:id="rId9"/>
    <sheet name="Personal Care Expenses" sheetId="12" r:id="rId10"/>
    <sheet name="Pet Expenses" sheetId="10" r:id="rId11"/>
    <sheet name="Education Expenses" sheetId="15" r:id="rId12"/>
    <sheet name="Gift Expenses" sheetId="16" r:id="rId13"/>
    <sheet name="Major Expenses" sheetId="17" r:id="rId14"/>
    <sheet name="Federal Tax" sheetId="2" state="hidden" r:id="rId15"/>
    <sheet name="FICA Tax" sheetId="4" state="hidden" r:id="rId16"/>
    <sheet name="NJ Tax" sheetId="3" state="hidden" r:id="rId17"/>
  </sheets>
  <functionGroups builtInGroupCount="19"/>
  <definedNames>
    <definedName name="Accounts">'Monthly Budget'!$A$118:$A$122,'Monthly Budget'!$B$118:$B$119</definedName>
    <definedName name="Investing">'Monthly Budget'!$B$118:$B$119</definedName>
    <definedName name="Savings">'Monthly Budget'!$A$118:$A$122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C2" i="1" s="1"/>
  <c r="F113" i="1"/>
  <c r="C6" i="1"/>
  <c r="E123" i="1" a="1"/>
  <c r="E123" i="1" s="1"/>
  <c r="E122" i="1" a="1"/>
  <c r="E122" i="1" s="1"/>
  <c r="E119" i="1"/>
  <c r="E118" i="1"/>
  <c r="C70" i="1"/>
  <c r="G109" i="6"/>
  <c r="F109" i="6"/>
  <c r="G108" i="6"/>
  <c r="F108" i="6"/>
  <c r="G107" i="6"/>
  <c r="F107" i="6"/>
  <c r="G106" i="6"/>
  <c r="F106" i="6"/>
  <c r="G105" i="6"/>
  <c r="F105" i="6"/>
  <c r="E105" i="6"/>
  <c r="E106" i="6"/>
  <c r="E107" i="6"/>
  <c r="E108" i="6"/>
  <c r="E109" i="6"/>
  <c r="D109" i="6"/>
  <c r="D108" i="6"/>
  <c r="D107" i="6"/>
  <c r="D106" i="6"/>
  <c r="D105" i="6"/>
  <c r="F107" i="1"/>
  <c r="C110" i="6"/>
  <c r="G102" i="6"/>
  <c r="F102" i="6"/>
  <c r="E102" i="6"/>
  <c r="D102" i="6"/>
  <c r="F108" i="1"/>
  <c r="F110" i="6" l="1"/>
  <c r="G110" i="6"/>
  <c r="E110" i="6"/>
  <c r="D110" i="6"/>
  <c r="C84" i="1"/>
  <c r="E83" i="1"/>
  <c r="E69" i="1"/>
  <c r="D22" i="1"/>
  <c r="C22" i="1"/>
  <c r="C20" i="1"/>
  <c r="D20" i="1"/>
  <c r="D18" i="1"/>
  <c r="C18" i="1"/>
  <c r="D16" i="1"/>
  <c r="C16" i="1"/>
  <c r="C3" i="1"/>
  <c r="D5" i="1"/>
  <c r="C73" i="6"/>
  <c r="C74" i="6" s="1"/>
  <c r="C21" i="6" l="1"/>
  <c r="C79" i="6"/>
  <c r="C82" i="6"/>
  <c r="C87" i="6"/>
  <c r="E82" i="1"/>
  <c r="C56" i="6" s="1"/>
  <c r="J8" i="6"/>
  <c r="K9" i="6"/>
  <c r="K8" i="6"/>
  <c r="L8" i="6"/>
  <c r="I9" i="6"/>
  <c r="I8" i="6"/>
  <c r="D9" i="6" l="1"/>
  <c r="C9" i="6"/>
  <c r="E6" i="6" l="1"/>
  <c r="E9" i="6" s="1"/>
  <c r="F6" i="6"/>
  <c r="F9" i="6" s="1"/>
  <c r="H6" i="6" s="1"/>
  <c r="E8" i="6"/>
  <c r="F8" i="6"/>
  <c r="G8" i="6"/>
  <c r="H8" i="6"/>
  <c r="M8" i="6"/>
  <c r="N8" i="6"/>
  <c r="G6" i="6" l="1"/>
  <c r="G9" i="6" s="1"/>
  <c r="J6" i="6" s="1"/>
  <c r="J9" i="6" s="1"/>
  <c r="M6" i="6" s="1"/>
  <c r="M9" i="6" s="1"/>
  <c r="H9" i="6"/>
  <c r="L6" i="6" s="1"/>
  <c r="L9" i="6" s="1"/>
  <c r="N6" i="6" s="1"/>
  <c r="N9" i="6" s="1"/>
  <c r="C26" i="1"/>
  <c r="D26" i="1"/>
  <c r="D11" i="1"/>
  <c r="E7" i="4"/>
  <c r="D7" i="4"/>
  <c r="B7" i="4"/>
  <c r="B4" i="4"/>
  <c r="E4" i="4"/>
  <c r="D2" i="1" l="1"/>
  <c r="B17" i="3"/>
  <c r="B18" i="3"/>
  <c r="E12" i="3"/>
  <c r="E4" i="3"/>
  <c r="E5" i="3" s="1"/>
  <c r="B16" i="3"/>
  <c r="B15" i="3"/>
  <c r="B14" i="3"/>
  <c r="B13" i="3"/>
  <c r="B12" i="3"/>
  <c r="E13" i="3" s="1"/>
  <c r="B9" i="3"/>
  <c r="B8" i="3"/>
  <c r="B7" i="3"/>
  <c r="B6" i="3"/>
  <c r="B5" i="3"/>
  <c r="B4" i="3"/>
  <c r="E12" i="2"/>
  <c r="E13" i="2" s="1"/>
  <c r="B17" i="2"/>
  <c r="B16" i="2"/>
  <c r="B15" i="2"/>
  <c r="B14" i="2"/>
  <c r="B13" i="2"/>
  <c r="B12" i="2"/>
  <c r="E4" i="2"/>
  <c r="B5" i="2"/>
  <c r="B6" i="2"/>
  <c r="B7" i="2"/>
  <c r="B8" i="2"/>
  <c r="B9" i="2"/>
  <c r="B4" i="2"/>
  <c r="B40" i="1"/>
  <c r="E79" i="1"/>
  <c r="C53" i="6" s="1"/>
  <c r="E84" i="1"/>
  <c r="C57" i="6" s="1"/>
  <c r="E81" i="1"/>
  <c r="C55" i="6" s="1"/>
  <c r="E80" i="1"/>
  <c r="C54" i="6" s="1"/>
  <c r="C71" i="1"/>
  <c r="E71" i="1" s="1"/>
  <c r="E70" i="1"/>
  <c r="E61" i="1"/>
  <c r="C16" i="6" s="1"/>
  <c r="E59" i="1"/>
  <c r="E90" i="1"/>
  <c r="E88" i="1"/>
  <c r="C65" i="6" s="1"/>
  <c r="E87" i="1"/>
  <c r="C64" i="6" s="1"/>
  <c r="E86" i="1"/>
  <c r="E85" i="1"/>
  <c r="E78" i="1"/>
  <c r="E77" i="1"/>
  <c r="C42" i="6" s="1"/>
  <c r="E76" i="1"/>
  <c r="C41" i="6" s="1"/>
  <c r="E75" i="1"/>
  <c r="C51" i="6" s="1"/>
  <c r="E74" i="1"/>
  <c r="C50" i="6" s="1"/>
  <c r="E73" i="1"/>
  <c r="C49" i="6" s="1"/>
  <c r="E72" i="1"/>
  <c r="E89" i="1"/>
  <c r="C47" i="6" s="1"/>
  <c r="E68" i="1"/>
  <c r="E67" i="1"/>
  <c r="E66" i="1"/>
  <c r="E65" i="1"/>
  <c r="E64" i="1"/>
  <c r="C44" i="6" s="1"/>
  <c r="E63" i="1"/>
  <c r="E62" i="1"/>
  <c r="C15" i="6" s="1"/>
  <c r="E60" i="1"/>
  <c r="E58" i="1"/>
  <c r="E57" i="1"/>
  <c r="E56" i="1"/>
  <c r="E55" i="1"/>
  <c r="E52" i="1"/>
  <c r="E53" i="1"/>
  <c r="E54" i="1"/>
  <c r="E51" i="1"/>
  <c r="E50" i="1"/>
  <c r="E49" i="1"/>
  <c r="C19" i="6" l="1"/>
  <c r="C46" i="6"/>
  <c r="D35" i="1"/>
  <c r="D32" i="1"/>
  <c r="E14" i="3"/>
  <c r="E15" i="3" s="1"/>
  <c r="E16" i="3" s="1"/>
  <c r="E17" i="3" s="1"/>
  <c r="E6" i="3"/>
  <c r="E7" i="3"/>
  <c r="E5" i="2"/>
  <c r="E6" i="2" s="1"/>
  <c r="E7" i="2" s="1"/>
  <c r="E8" i="2" s="1"/>
  <c r="E14" i="2"/>
  <c r="E15" i="2"/>
  <c r="D14" i="1"/>
  <c r="D25" i="1"/>
  <c r="D29" i="1" l="1"/>
  <c r="D38" i="1" s="1"/>
  <c r="C25" i="1"/>
  <c r="E18" i="3"/>
  <c r="E8" i="3"/>
  <c r="E9" i="3" s="1"/>
  <c r="E16" i="2"/>
  <c r="E17" i="2" s="1"/>
  <c r="E9" i="2"/>
  <c r="D13" i="1"/>
  <c r="D36" i="1" l="1"/>
  <c r="B42" i="1"/>
  <c r="B41" i="1"/>
  <c r="C92" i="1" l="1"/>
  <c r="E48" i="1"/>
  <c r="E92" i="1" s="1"/>
  <c r="C18" i="6"/>
  <c r="C26" i="6" l="1"/>
  <c r="C24" i="6"/>
  <c r="C22" i="6"/>
  <c r="C23" i="6"/>
  <c r="C40" i="1"/>
  <c r="C25" i="6"/>
  <c r="C32" i="1"/>
  <c r="C35" i="1" l="1"/>
  <c r="C29" i="1" s="1"/>
  <c r="C38" i="1" s="1"/>
  <c r="C14" i="1"/>
  <c r="C13" i="1" s="1"/>
  <c r="C99" i="1" l="1"/>
  <c r="C36" i="1"/>
  <c r="C98" i="1" l="1"/>
  <c r="F76" i="1"/>
  <c r="F79" i="1"/>
  <c r="F67" i="1"/>
  <c r="F88" i="1"/>
  <c r="F70" i="1"/>
  <c r="F74" i="1"/>
  <c r="D110" i="1"/>
  <c r="F59" i="1"/>
  <c r="F50" i="1"/>
  <c r="F64" i="1"/>
  <c r="F78" i="1"/>
  <c r="F54" i="1"/>
  <c r="F57" i="1"/>
  <c r="F85" i="1"/>
  <c r="F61" i="1"/>
  <c r="D107" i="1"/>
  <c r="F77" i="1"/>
  <c r="F56" i="1"/>
  <c r="F48" i="1"/>
  <c r="F63" i="1"/>
  <c r="D109" i="1"/>
  <c r="C112" i="1"/>
  <c r="F60" i="1"/>
  <c r="F81" i="1"/>
  <c r="F84" i="1"/>
  <c r="F86" i="1"/>
  <c r="C111" i="1"/>
  <c r="F66" i="1"/>
  <c r="F80" i="1"/>
  <c r="D111" i="1"/>
  <c r="F90" i="1"/>
  <c r="F55" i="1"/>
  <c r="F69" i="1"/>
  <c r="F89" i="1"/>
  <c r="D100" i="1"/>
  <c r="D108" i="1"/>
  <c r="E40" i="1"/>
  <c r="F49" i="1"/>
  <c r="F72" i="1"/>
  <c r="F68" i="1"/>
  <c r="F83" i="1"/>
  <c r="D98" i="1"/>
  <c r="F71" i="1"/>
  <c r="F91" i="1"/>
  <c r="F58" i="1"/>
  <c r="F82" i="1"/>
  <c r="F51" i="1"/>
  <c r="F52" i="1"/>
  <c r="D99" i="1"/>
  <c r="E99" i="1" s="1"/>
  <c r="C109" i="1"/>
  <c r="C107" i="1"/>
  <c r="C110" i="1"/>
  <c r="F87" i="1"/>
  <c r="F73" i="1"/>
  <c r="F65" i="1"/>
  <c r="F53" i="1"/>
  <c r="F75" i="1"/>
  <c r="F62" i="1"/>
  <c r="C100" i="1"/>
  <c r="C108" i="1"/>
  <c r="E108" i="1" s="1"/>
  <c r="E111" i="1" l="1"/>
  <c r="E98" i="1"/>
  <c r="E100" i="1"/>
  <c r="E110" i="1"/>
  <c r="E109" i="1"/>
  <c r="E107" i="1"/>
  <c r="C113" i="1"/>
  <c r="C42" i="1" s="1"/>
  <c r="E42" i="1" s="1"/>
  <c r="D97" i="1"/>
  <c r="F119" i="1" s="1"/>
  <c r="G119" i="1" s="1"/>
  <c r="C102" i="6"/>
  <c r="C98" i="6"/>
  <c r="C97" i="1"/>
  <c r="C102" i="1" l="1"/>
  <c r="C41" i="1" s="1"/>
  <c r="C43" i="1" s="1"/>
  <c r="E113" i="1"/>
  <c r="E97" i="1"/>
  <c r="E102" i="1" s="1"/>
  <c r="F118" i="1"/>
  <c r="G118" i="1" s="1"/>
  <c r="E4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Note</author>
  </authors>
  <commentList>
    <comment ref="C4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Includes Roth/Trad 401k as well as 401k Match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<sst xmlns="http://schemas.openxmlformats.org/spreadsheetml/2006/main" count="494" uniqueCount="235">
  <si>
    <t>Monthly Expenses</t>
  </si>
  <si>
    <t>Expense Type</t>
  </si>
  <si>
    <t>$/Year</t>
  </si>
  <si>
    <t>Housing</t>
  </si>
  <si>
    <t>Housing Payments</t>
  </si>
  <si>
    <t>Housing Insurance</t>
  </si>
  <si>
    <t>Utility (Electrical)</t>
  </si>
  <si>
    <t>Utility (Gas)</t>
  </si>
  <si>
    <t>Trash</t>
  </si>
  <si>
    <t>Sewer</t>
  </si>
  <si>
    <t>Water</t>
  </si>
  <si>
    <t>Auto</t>
  </si>
  <si>
    <t>Parking</t>
  </si>
  <si>
    <t>EZ Pass</t>
  </si>
  <si>
    <t>Gasoline</t>
  </si>
  <si>
    <t>Other Travel</t>
  </si>
  <si>
    <t>Entertainment</t>
  </si>
  <si>
    <t>Wireless/Cable</t>
  </si>
  <si>
    <t>Cellular</t>
  </si>
  <si>
    <t>Amazon</t>
  </si>
  <si>
    <t>Netflix</t>
  </si>
  <si>
    <t>Other Entertainment</t>
  </si>
  <si>
    <t>Miscellaneous</t>
  </si>
  <si>
    <t>SUM</t>
  </si>
  <si>
    <t>Expense</t>
  </si>
  <si>
    <t>College Savings (529)</t>
  </si>
  <si>
    <t>Short-Term Savings</t>
  </si>
  <si>
    <t>Roth 401k/IRA</t>
  </si>
  <si>
    <t>HSA/FSA</t>
  </si>
  <si>
    <t>Medical</t>
  </si>
  <si>
    <t>Vision</t>
  </si>
  <si>
    <t>Dental</t>
  </si>
  <si>
    <t>$/Month</t>
  </si>
  <si>
    <t>Home Maintenance</t>
  </si>
  <si>
    <t>Car Insurance</t>
  </si>
  <si>
    <t>Car Maintenance</t>
  </si>
  <si>
    <t>Car Payments</t>
  </si>
  <si>
    <t>Hulu</t>
  </si>
  <si>
    <t>Traditional 401k/IRA</t>
  </si>
  <si>
    <t>Post Tax Deductions</t>
  </si>
  <si>
    <t>Pre Tax Deductions</t>
  </si>
  <si>
    <t>Rich</t>
  </si>
  <si>
    <t>Becca</t>
  </si>
  <si>
    <t>Personal Care</t>
  </si>
  <si>
    <t>Groceries</t>
  </si>
  <si>
    <t>Restaurants</t>
  </si>
  <si>
    <t>Net Monthly Earnings</t>
  </si>
  <si>
    <t>Long-Term Savings</t>
  </si>
  <si>
    <t>Vacation</t>
  </si>
  <si>
    <t>Other Food</t>
  </si>
  <si>
    <t>Gifts</t>
  </si>
  <si>
    <t>Charity</t>
  </si>
  <si>
    <t>Gambling</t>
  </si>
  <si>
    <t>General Merchandise</t>
  </si>
  <si>
    <t>Food</t>
  </si>
  <si>
    <t>TOTAL</t>
  </si>
  <si>
    <t>Pet</t>
  </si>
  <si>
    <t>Google Nest</t>
  </si>
  <si>
    <t>Vet</t>
  </si>
  <si>
    <t>Toys</t>
  </si>
  <si>
    <t>ATM/Cash</t>
  </si>
  <si>
    <t>Tax Withholdings</t>
  </si>
  <si>
    <t>Federal</t>
  </si>
  <si>
    <t>State</t>
  </si>
  <si>
    <t>Local</t>
  </si>
  <si>
    <t>Social Security</t>
  </si>
  <si>
    <t>Medicare</t>
  </si>
  <si>
    <t>Other</t>
  </si>
  <si>
    <t>Filing State</t>
  </si>
  <si>
    <t>Filing Type</t>
  </si>
  <si>
    <t>NJ</t>
  </si>
  <si>
    <t>Single</t>
  </si>
  <si>
    <t>Monthly Savings</t>
  </si>
  <si>
    <t>Monthly Investments</t>
  </si>
  <si>
    <t>Federal Tax Brackets</t>
  </si>
  <si>
    <t>Minimum ($)</t>
  </si>
  <si>
    <t>Maximum ($)</t>
  </si>
  <si>
    <t>Rate (%)</t>
  </si>
  <si>
    <t>Base ($)</t>
  </si>
  <si>
    <t>Joint</t>
  </si>
  <si>
    <t>NJ Tax Brackets</t>
  </si>
  <si>
    <t>FICA Taxes</t>
  </si>
  <si>
    <t>Pet Fee</t>
  </si>
  <si>
    <t>Salary</t>
  </si>
  <si>
    <t>Overtime</t>
  </si>
  <si>
    <t>Bonus</t>
  </si>
  <si>
    <t>Interest</t>
  </si>
  <si>
    <t>Dividends</t>
  </si>
  <si>
    <t>Stock</t>
  </si>
  <si>
    <t>Effective Tax Rate</t>
  </si>
  <si>
    <t>Years</t>
  </si>
  <si>
    <t>Children</t>
  </si>
  <si>
    <t>BASIC</t>
  </si>
  <si>
    <t>HOME</t>
  </si>
  <si>
    <t>RENT</t>
  </si>
  <si>
    <t>Base Rent</t>
  </si>
  <si>
    <t>Rent Increase</t>
  </si>
  <si>
    <t>Rent Length</t>
  </si>
  <si>
    <t>High Dividend</t>
  </si>
  <si>
    <t>Salary Growth</t>
  </si>
  <si>
    <t>Retirement (Roth)</t>
  </si>
  <si>
    <t>Retirement (Trad)</t>
  </si>
  <si>
    <t>College 529</t>
  </si>
  <si>
    <t>Long Term</t>
  </si>
  <si>
    <t>Short Term</t>
  </si>
  <si>
    <t>Spending</t>
  </si>
  <si>
    <t>SAVINGS</t>
  </si>
  <si>
    <t>ACCOUNT NAME</t>
  </si>
  <si>
    <t>VALUE ($)</t>
  </si>
  <si>
    <t>ALLOCATION (%)</t>
  </si>
  <si>
    <t>Home Mortgage</t>
  </si>
  <si>
    <t>Year</t>
  </si>
  <si>
    <t>Balance</t>
  </si>
  <si>
    <t>Payment</t>
  </si>
  <si>
    <t>Worth</t>
  </si>
  <si>
    <t>Principal</t>
  </si>
  <si>
    <t>Down</t>
  </si>
  <si>
    <t>Car Loan</t>
  </si>
  <si>
    <t>Home Appreciation</t>
  </si>
  <si>
    <t>Car Depreciation</t>
  </si>
  <si>
    <t>Property Taxes</t>
  </si>
  <si>
    <t>Property Tax</t>
  </si>
  <si>
    <t>Car Expenses</t>
  </si>
  <si>
    <t>Insurance</t>
  </si>
  <si>
    <t>Repair</t>
  </si>
  <si>
    <t>Fuel</t>
  </si>
  <si>
    <t>Home Expenses</t>
  </si>
  <si>
    <t>Electricity</t>
  </si>
  <si>
    <t>Gas</t>
  </si>
  <si>
    <t>months</t>
  </si>
  <si>
    <t>years</t>
  </si>
  <si>
    <t>monthly</t>
  </si>
  <si>
    <t>% of Worth</t>
  </si>
  <si>
    <t>% of Rent</t>
  </si>
  <si>
    <t>% of Balance</t>
  </si>
  <si>
    <t>Car Cost</t>
  </si>
  <si>
    <t>Car Down Payment</t>
  </si>
  <si>
    <t>Car Sell Year</t>
  </si>
  <si>
    <t>Car Term Length</t>
  </si>
  <si>
    <t>Car Interest Rate</t>
  </si>
  <si>
    <t>Car Repairs</t>
  </si>
  <si>
    <t>Home Purchase Year</t>
  </si>
  <si>
    <t>Mortgage Term Length</t>
  </si>
  <si>
    <t>Mortgage Interest Rate</t>
  </si>
  <si>
    <t>Mortgage Down Payment</t>
  </si>
  <si>
    <t>Home Insurance</t>
  </si>
  <si>
    <t>Home Repairs</t>
  </si>
  <si>
    <t>Home Cost</t>
  </si>
  <si>
    <t>% of Payment</t>
  </si>
  <si>
    <t>Rent Insurance</t>
  </si>
  <si>
    <t>Apartment Repairs</t>
  </si>
  <si>
    <t>Apartment Electricity</t>
  </si>
  <si>
    <t>Apartment Gas</t>
  </si>
  <si>
    <t>Apartment Water</t>
  </si>
  <si>
    <t>Home Electricity</t>
  </si>
  <si>
    <t>Home Gas</t>
  </si>
  <si>
    <t>Home Water</t>
  </si>
  <si>
    <t>Gifts/Charity</t>
  </si>
  <si>
    <t>Random</t>
  </si>
  <si>
    <t>Education</t>
  </si>
  <si>
    <t>Restaurant</t>
  </si>
  <si>
    <t>Food Expenses</t>
  </si>
  <si>
    <t>FOOD</t>
  </si>
  <si>
    <t>monthly, growth-factor, child-factor</t>
  </si>
  <si>
    <t>Car Purchase Year</t>
  </si>
  <si>
    <t>Entertainment Expenses</t>
  </si>
  <si>
    <t>Wifi/Cable</t>
  </si>
  <si>
    <t>Subscriptions</t>
  </si>
  <si>
    <t>Personal Care Expenses</t>
  </si>
  <si>
    <t>Clothing/Shoes</t>
  </si>
  <si>
    <t>Hair/Makeup</t>
  </si>
  <si>
    <t>Pet Expenses</t>
  </si>
  <si>
    <t>ENTERTAINMENT</t>
  </si>
  <si>
    <t>PERSONAL CARE</t>
  </si>
  <si>
    <t>yearly, growth-factor, child-factor</t>
  </si>
  <si>
    <t>Pet Food</t>
  </si>
  <si>
    <t>Pet Care-Taker</t>
  </si>
  <si>
    <t>PET</t>
  </si>
  <si>
    <t>Care-taker</t>
  </si>
  <si>
    <t>Pet Essentials</t>
  </si>
  <si>
    <t>Pet Toys</t>
  </si>
  <si>
    <t>Essentials</t>
  </si>
  <si>
    <t>Care-Taker</t>
  </si>
  <si>
    <t>Education Expenses</t>
  </si>
  <si>
    <t>Tuition</t>
  </si>
  <si>
    <t>Dining</t>
  </si>
  <si>
    <t>Books</t>
  </si>
  <si>
    <t>EDUCATION</t>
  </si>
  <si>
    <t>yearly per child</t>
  </si>
  <si>
    <t>Rent Fees</t>
  </si>
  <si>
    <t>Gift</t>
  </si>
  <si>
    <t>Food/Litter</t>
  </si>
  <si>
    <t>Microsoft Office</t>
  </si>
  <si>
    <t>low, mode, high</t>
  </si>
  <si>
    <t>RANDOM</t>
  </si>
  <si>
    <t>Low Volatility</t>
  </si>
  <si>
    <t>Value/Growth</t>
  </si>
  <si>
    <t>Sector/Industry</t>
  </si>
  <si>
    <t>Swing/Day</t>
  </si>
  <si>
    <t>EVENT NAME</t>
  </si>
  <si>
    <t>YEAR</t>
  </si>
  <si>
    <t>Wedding (1/2)</t>
  </si>
  <si>
    <t>Wedding (2/2)</t>
  </si>
  <si>
    <t>Bin Width</t>
  </si>
  <si>
    <t>Decay Factor</t>
  </si>
  <si>
    <t>Max Expense</t>
  </si>
  <si>
    <t>Bin Range</t>
  </si>
  <si>
    <t>Major Expenses</t>
  </si>
  <si>
    <t>MAJOR EXPENSES</t>
  </si>
  <si>
    <t>Major</t>
  </si>
  <si>
    <t>Expenses</t>
  </si>
  <si>
    <t>per Paycheck</t>
  </si>
  <si>
    <t>Goldman Sachs</t>
  </si>
  <si>
    <t>Disney+</t>
  </si>
  <si>
    <t>Fidelity</t>
  </si>
  <si>
    <t>CONTRIBUTION (%)</t>
  </si>
  <si>
    <t>Accounts</t>
  </si>
  <si>
    <t>PNC Spend</t>
  </si>
  <si>
    <t>BoA Spend</t>
  </si>
  <si>
    <t>PNC Growth</t>
  </si>
  <si>
    <t>BoA Savings</t>
  </si>
  <si>
    <t>Savings</t>
  </si>
  <si>
    <t>Investing</t>
  </si>
  <si>
    <t>TD Ameritrade</t>
  </si>
  <si>
    <t>Account</t>
  </si>
  <si>
    <t>Type</t>
  </si>
  <si>
    <t>Debit</t>
  </si>
  <si>
    <t>Credit</t>
  </si>
  <si>
    <t>100/0</t>
  </si>
  <si>
    <t>0/100</t>
  </si>
  <si>
    <t>Savings/Investing</t>
  </si>
  <si>
    <t>%</t>
  </si>
  <si>
    <t>Split</t>
  </si>
  <si>
    <t>INCOME</t>
  </si>
  <si>
    <t>Account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</si>
</sst>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_(&quot;$&quot;* #,##0_);_(&quot;$&quot;* \(#,##0\);_(&quot;$&quot;* &quot;-&quot;??_);_(@_)"/>
    <numFmt numFmtId="168" formatCode="0.000%"/>
  </numFmts>
  <fonts count="23" x14ac:knownFonts="1">
    <font>
      <sz val="10"/>
      <color rgb="FF00000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i/>
      <sz val="10"/>
      <color rgb="FF999999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0"/>
      <color theme="0" tint="-0.34998626667073579"/>
      <name val="Arial"/>
      <family val="2"/>
    </font>
    <font>
      <i/>
      <sz val="10"/>
      <color theme="0" tint="-0.499984740745262"/>
      <name val="Arial"/>
      <family val="2"/>
    </font>
    <font>
      <b/>
      <i/>
      <sz val="10"/>
      <color rgb="FF999999"/>
      <name val="Arial"/>
      <family val="2"/>
    </font>
    <font>
      <b/>
      <sz val="10"/>
      <color rgb="FF000000"/>
      <name val="Arial"/>
      <family val="2"/>
    </font>
    <font>
      <b/>
      <i/>
      <sz val="10"/>
      <color theme="0" tint="-0.34998626667073579"/>
      <name val="Arial"/>
      <family val="2"/>
    </font>
    <font>
      <i/>
      <sz val="10"/>
      <color theme="1" tint="0.34998626667073579"/>
      <name val="Arial"/>
      <family val="2"/>
    </font>
    <font>
      <b/>
      <i/>
      <sz val="10"/>
      <color theme="1" tint="0.34998626667073579"/>
      <name val="Arial"/>
      <family val="2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color rgb="FF000000"/>
      <name val="Arial"/>
      <family val="2"/>
    </font>
    <font>
      <b/>
      <sz val="12"/>
      <name val="Arial"/>
      <family val="2"/>
    </font>
    <font>
      <i/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theme="0" tint="-0.49998474074526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9D9D9"/>
        <bgColor rgb="FFD9D9D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theme="4" tint="0.79998168889431442"/>
        <bgColor rgb="FFEFEFE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9DAF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6" fillId="9" borderId="0" applyNumberFormat="0" applyBorder="0" applyAlignment="0" applyProtection="0"/>
  </cellStyleXfs>
  <cellXfs count="168">
    <xf numFmtId="0" fontId="0" fillId="0" borderId="0" xfId="0" applyFont="1" applyAlignment="1"/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2" fontId="2" fillId="8" borderId="0" xfId="0" applyNumberFormat="1" applyFont="1" applyFill="1" applyAlignment="1">
      <alignment horizontal="right" vertical="center"/>
    </xf>
    <xf numFmtId="164" fontId="2" fillId="8" borderId="0" xfId="0" applyNumberFormat="1" applyFont="1" applyFill="1" applyAlignment="1">
      <alignment horizontal="right" vertical="center"/>
    </xf>
    <xf numFmtId="9" fontId="2" fillId="6" borderId="0" xfId="2" applyFont="1" applyFill="1" applyAlignment="1">
      <alignment horizontal="right" vertical="center"/>
    </xf>
    <xf numFmtId="2" fontId="3" fillId="0" borderId="0" xfId="0" applyNumberFormat="1" applyFont="1" applyFill="1" applyAlignment="1">
      <alignment horizontal="right" vertical="center"/>
    </xf>
    <xf numFmtId="165" fontId="2" fillId="6" borderId="0" xfId="2" applyNumberFormat="1" applyFont="1" applyFill="1" applyAlignment="1">
      <alignment horizontal="right" vertical="center"/>
    </xf>
    <xf numFmtId="0" fontId="1" fillId="0" borderId="0" xfId="0" applyFont="1" applyAlignment="1">
      <alignment horizontal="right" vertical="center"/>
    </xf>
    <xf numFmtId="2" fontId="1" fillId="0" borderId="0" xfId="0" applyNumberFormat="1" applyFont="1" applyAlignment="1">
      <alignment vertical="center"/>
    </xf>
    <xf numFmtId="2" fontId="2" fillId="3" borderId="0" xfId="0" applyNumberFormat="1" applyFont="1" applyFill="1" applyAlignment="1">
      <alignment horizontal="right" vertical="center"/>
    </xf>
    <xf numFmtId="10" fontId="10" fillId="0" borderId="0" xfId="2" applyNumberFormat="1" applyFont="1" applyAlignment="1">
      <alignment horizontal="center" vertical="center"/>
    </xf>
    <xf numFmtId="2" fontId="2" fillId="3" borderId="1" xfId="0" applyNumberFormat="1" applyFont="1" applyFill="1" applyBorder="1" applyAlignment="1">
      <alignment horizontal="right" vertical="center"/>
    </xf>
    <xf numFmtId="165" fontId="3" fillId="0" borderId="0" xfId="0" applyNumberFormat="1" applyFont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10" fontId="1" fillId="3" borderId="0" xfId="0" applyNumberFormat="1" applyFont="1" applyFill="1" applyAlignment="1">
      <alignment vertical="center"/>
    </xf>
    <xf numFmtId="165" fontId="1" fillId="0" borderId="0" xfId="0" applyNumberFormat="1" applyFont="1" applyAlignment="1">
      <alignment vertical="center"/>
    </xf>
    <xf numFmtId="0" fontId="1" fillId="3" borderId="1" xfId="0" applyFont="1" applyFill="1" applyBorder="1" applyAlignment="1">
      <alignment vertical="center"/>
    </xf>
    <xf numFmtId="165" fontId="5" fillId="0" borderId="2" xfId="0" applyNumberFormat="1" applyFont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0" fillId="7" borderId="0" xfId="0" applyFont="1" applyFill="1" applyAlignment="1">
      <alignment vertical="center"/>
    </xf>
    <xf numFmtId="0" fontId="0" fillId="0" borderId="0" xfId="0" applyFont="1" applyAlignment="1">
      <alignment vertical="center"/>
    </xf>
    <xf numFmtId="166" fontId="11" fillId="0" borderId="0" xfId="0" applyNumberFormat="1" applyFont="1" applyAlignment="1">
      <alignment horizontal="center" vertical="center"/>
    </xf>
    <xf numFmtId="166" fontId="3" fillId="7" borderId="0" xfId="0" applyNumberFormat="1" applyFont="1" applyFill="1" applyAlignment="1">
      <alignment vertical="center"/>
    </xf>
    <xf numFmtId="166" fontId="3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0" fillId="0" borderId="0" xfId="0" applyFont="1" applyAlignment="1">
      <alignment vertical="center"/>
    </xf>
    <xf numFmtId="167" fontId="3" fillId="0" borderId="0" xfId="2" applyNumberFormat="1" applyFont="1" applyFill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10" fillId="0" borderId="0" xfId="2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165" fontId="2" fillId="8" borderId="0" xfId="0" applyNumberFormat="1" applyFont="1" applyFill="1" applyAlignment="1">
      <alignment horizontal="right" vertical="center"/>
    </xf>
    <xf numFmtId="164" fontId="1" fillId="8" borderId="0" xfId="0" applyNumberFormat="1" applyFont="1" applyFill="1" applyAlignment="1">
      <alignment horizontal="center" vertical="center"/>
    </xf>
    <xf numFmtId="165" fontId="2" fillId="8" borderId="5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5" fontId="3" fillId="6" borderId="0" xfId="2" applyNumberFormat="1" applyFont="1" applyFill="1" applyAlignment="1">
      <alignment horizontal="center" vertical="center"/>
    </xf>
    <xf numFmtId="165" fontId="2" fillId="8" borderId="6" xfId="0" applyNumberFormat="1" applyFont="1" applyFill="1" applyBorder="1" applyAlignment="1">
      <alignment horizontal="center" vertical="center"/>
    </xf>
    <xf numFmtId="165" fontId="2" fillId="8" borderId="7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1" fillId="0" borderId="0" xfId="1" applyNumberFormat="1" applyFont="1" applyAlignment="1">
      <alignment vertical="center"/>
    </xf>
    <xf numFmtId="0" fontId="1" fillId="3" borderId="0" xfId="1" applyNumberFormat="1" applyFont="1" applyFill="1" applyAlignment="1">
      <alignment vertical="center"/>
    </xf>
    <xf numFmtId="0" fontId="1" fillId="0" borderId="0" xfId="0" applyNumberFormat="1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44" fontId="2" fillId="6" borderId="0" xfId="1" applyFont="1" applyFill="1" applyAlignment="1">
      <alignment horizontal="right" vertical="center"/>
    </xf>
    <xf numFmtId="165" fontId="4" fillId="0" borderId="0" xfId="0" applyNumberFormat="1" applyFont="1" applyAlignment="1">
      <alignment horizontal="center" vertical="center"/>
    </xf>
    <xf numFmtId="0" fontId="6" fillId="0" borderId="0" xfId="0" applyFont="1" applyAlignment="1"/>
    <xf numFmtId="9" fontId="0" fillId="0" borderId="0" xfId="2" applyFont="1" applyAlignment="1"/>
    <xf numFmtId="0" fontId="12" fillId="0" borderId="0" xfId="0" applyFont="1" applyAlignment="1">
      <alignment horizontal="center"/>
    </xf>
    <xf numFmtId="44" fontId="0" fillId="0" borderId="0" xfId="1" applyFont="1" applyAlignment="1"/>
    <xf numFmtId="167" fontId="0" fillId="0" borderId="0" xfId="1" applyNumberFormat="1" applyFont="1" applyAlignment="1"/>
    <xf numFmtId="167" fontId="0" fillId="0" borderId="0" xfId="0" applyNumberFormat="1" applyFont="1" applyAlignment="1"/>
    <xf numFmtId="167" fontId="6" fillId="0" borderId="0" xfId="1" applyNumberFormat="1" applyFont="1" applyAlignment="1"/>
    <xf numFmtId="0" fontId="17" fillId="12" borderId="0" xfId="3" applyFont="1" applyFill="1" applyAlignment="1">
      <alignment horizontal="center"/>
    </xf>
    <xf numFmtId="0" fontId="18" fillId="0" borderId="0" xfId="0" applyFont="1" applyAlignment="1"/>
    <xf numFmtId="166" fontId="0" fillId="0" borderId="0" xfId="2" applyNumberFormat="1" applyFont="1" applyAlignment="1"/>
    <xf numFmtId="10" fontId="0" fillId="0" borderId="0" xfId="2" applyNumberFormat="1" applyFont="1" applyAlignment="1"/>
    <xf numFmtId="168" fontId="0" fillId="0" borderId="0" xfId="2" applyNumberFormat="1" applyFont="1" applyAlignment="1"/>
    <xf numFmtId="2" fontId="5" fillId="0" borderId="0" xfId="0" applyNumberFormat="1" applyFont="1" applyFill="1" applyAlignment="1">
      <alignment horizontal="right" vertical="center"/>
    </xf>
    <xf numFmtId="2" fontId="2" fillId="0" borderId="0" xfId="0" applyNumberFormat="1" applyFont="1" applyFill="1" applyAlignment="1">
      <alignment horizontal="right" vertical="center"/>
    </xf>
    <xf numFmtId="10" fontId="13" fillId="0" borderId="8" xfId="2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44" fontId="2" fillId="13" borderId="0" xfId="1" applyFont="1" applyFill="1" applyAlignment="1">
      <alignment horizontal="center" vertical="center"/>
    </xf>
    <xf numFmtId="166" fontId="10" fillId="10" borderId="0" xfId="2" applyNumberFormat="1" applyFont="1" applyFill="1" applyAlignment="1">
      <alignment horizontal="center" vertical="center"/>
    </xf>
    <xf numFmtId="166" fontId="10" fillId="0" borderId="0" xfId="2" applyNumberFormat="1" applyFont="1" applyFill="1" applyAlignment="1">
      <alignment horizontal="center" vertical="center"/>
    </xf>
    <xf numFmtId="165" fontId="19" fillId="2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167" fontId="1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9" fontId="12" fillId="0" borderId="0" xfId="2" applyFont="1" applyAlignment="1">
      <alignment horizontal="center"/>
    </xf>
    <xf numFmtId="9" fontId="0" fillId="0" borderId="0" xfId="2" applyFont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9" fontId="0" fillId="12" borderId="0" xfId="2" applyFont="1" applyFill="1" applyAlignment="1">
      <alignment horizontal="center" vertical="center"/>
    </xf>
    <xf numFmtId="166" fontId="0" fillId="12" borderId="0" xfId="2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167" fontId="0" fillId="14" borderId="0" xfId="1" applyNumberFormat="1" applyFont="1" applyFill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66" fontId="18" fillId="0" borderId="0" xfId="2" applyNumberFormat="1" applyFont="1" applyAlignment="1">
      <alignment horizontal="center" vertical="center"/>
    </xf>
    <xf numFmtId="0" fontId="20" fillId="0" borderId="0" xfId="0" applyFont="1" applyFill="1" applyAlignment="1">
      <alignment horizontal="right"/>
    </xf>
    <xf numFmtId="167" fontId="0" fillId="0" borderId="0" xfId="1" applyNumberFormat="1" applyFont="1" applyFill="1" applyAlignment="1">
      <alignment horizontal="center" vertical="center"/>
    </xf>
    <xf numFmtId="166" fontId="0" fillId="0" borderId="0" xfId="2" applyNumberFormat="1" applyFont="1" applyFill="1" applyAlignment="1">
      <alignment horizontal="center" vertical="center"/>
    </xf>
    <xf numFmtId="166" fontId="6" fillId="0" borderId="0" xfId="2" applyNumberFormat="1" applyFont="1" applyFill="1" applyAlignment="1">
      <alignment horizontal="center" vertical="center"/>
    </xf>
    <xf numFmtId="167" fontId="12" fillId="0" borderId="0" xfId="1" applyNumberFormat="1" applyFont="1" applyAlignment="1">
      <alignment horizontal="right"/>
    </xf>
    <xf numFmtId="9" fontId="12" fillId="0" borderId="0" xfId="2" applyFont="1" applyAlignment="1">
      <alignment horizontal="right"/>
    </xf>
    <xf numFmtId="166" fontId="21" fillId="0" borderId="0" xfId="2" applyNumberFormat="1" applyFont="1" applyAlignment="1">
      <alignment horizontal="center" vertical="center"/>
    </xf>
    <xf numFmtId="10" fontId="0" fillId="12" borderId="0" xfId="2" applyNumberFormat="1" applyFont="1" applyFill="1" applyAlignment="1">
      <alignment horizontal="center" vertical="center"/>
    </xf>
    <xf numFmtId="1" fontId="0" fillId="12" borderId="0" xfId="2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0" fillId="14" borderId="0" xfId="2" applyNumberFormat="1" applyFont="1" applyFill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14" borderId="0" xfId="1" applyNumberFormat="1" applyFont="1" applyFill="1" applyAlignment="1">
      <alignment horizontal="center" vertical="center"/>
    </xf>
    <xf numFmtId="166" fontId="0" fillId="10" borderId="0" xfId="2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horizontal="center" vertical="center"/>
    </xf>
    <xf numFmtId="167" fontId="0" fillId="10" borderId="0" xfId="1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9" fontId="0" fillId="12" borderId="0" xfId="2" applyNumberFormat="1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0" fontId="17" fillId="0" borderId="0" xfId="3" applyFont="1" applyFill="1" applyAlignment="1">
      <alignment horizontal="right"/>
    </xf>
    <xf numFmtId="167" fontId="0" fillId="12" borderId="0" xfId="1" applyNumberFormat="1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167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12" borderId="0" xfId="0" applyFont="1" applyFill="1" applyAlignment="1">
      <alignment horizontal="center"/>
    </xf>
    <xf numFmtId="167" fontId="12" fillId="0" borderId="0" xfId="1" applyNumberFormat="1" applyFont="1" applyAlignment="1"/>
    <xf numFmtId="167" fontId="12" fillId="0" borderId="0" xfId="1" applyNumberFormat="1" applyFont="1" applyFill="1" applyAlignment="1"/>
    <xf numFmtId="167" fontId="17" fillId="15" borderId="0" xfId="1" applyNumberFormat="1" applyFont="1" applyFill="1" applyAlignment="1">
      <alignment horizontal="center"/>
    </xf>
    <xf numFmtId="0" fontId="0" fillId="0" borderId="0" xfId="0" applyFont="1" applyAlignment="1">
      <alignment vertical="center"/>
    </xf>
    <xf numFmtId="44" fontId="0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165" fontId="1" fillId="8" borderId="5" xfId="0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165" fontId="1" fillId="10" borderId="5" xfId="1" applyNumberFormat="1" applyFont="1" applyFill="1" applyBorder="1" applyAlignment="1">
      <alignment horizontal="center" vertical="center"/>
    </xf>
    <xf numFmtId="2" fontId="3" fillId="4" borderId="0" xfId="0" applyNumberFormat="1" applyFont="1" applyFill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165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/>
    <xf numFmtId="165" fontId="1" fillId="0" borderId="0" xfId="0" applyNumberFormat="1" applyFont="1" applyAlignment="1">
      <alignment horizontal="center" vertical="center"/>
    </xf>
    <xf numFmtId="165" fontId="3" fillId="0" borderId="8" xfId="0" applyNumberFormat="1" applyFont="1" applyBorder="1" applyAlignment="1">
      <alignment horizontal="center" vertical="center"/>
    </xf>
    <xf numFmtId="165" fontId="1" fillId="8" borderId="6" xfId="0" applyNumberFormat="1" applyFont="1" applyFill="1" applyBorder="1" applyAlignment="1">
      <alignment horizontal="center" vertical="center"/>
    </xf>
    <xf numFmtId="165" fontId="1" fillId="10" borderId="7" xfId="1" applyNumberFormat="1" applyFont="1" applyFill="1" applyBorder="1" applyAlignment="1">
      <alignment horizontal="center" vertical="center"/>
    </xf>
    <xf numFmtId="0" fontId="17" fillId="11" borderId="0" xfId="3" applyFont="1" applyFill="1" applyAlignment="1">
      <alignment horizontal="center" vertical="center"/>
    </xf>
    <xf numFmtId="0" fontId="17" fillId="11" borderId="0" xfId="3" applyFont="1" applyFill="1" applyAlignment="1">
      <alignment horizontal="center"/>
    </xf>
    <xf numFmtId="164" fontId="3" fillId="5" borderId="0" xfId="0" applyNumberFormat="1" applyFont="1" applyFill="1" applyAlignment="1">
      <alignment horizontal="center" vertical="center"/>
    </xf>
    <xf numFmtId="164" fontId="22" fillId="5" borderId="3" xfId="0" applyNumberFormat="1" applyFont="1" applyFill="1" applyBorder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5" fontId="10" fillId="8" borderId="5" xfId="0" applyNumberFormat="1" applyFont="1" applyFill="1" applyBorder="1" applyAlignment="1">
      <alignment horizontal="center" vertical="center"/>
    </xf>
    <xf numFmtId="164" fontId="22" fillId="5" borderId="6" xfId="0" applyNumberFormat="1" applyFont="1" applyFill="1" applyBorder="1" applyAlignment="1">
      <alignment horizontal="center" vertical="center"/>
    </xf>
    <xf numFmtId="2" fontId="3" fillId="0" borderId="0" xfId="0" applyNumberFormat="1" applyFont="1" applyAlignment="1">
      <alignment vertical="center"/>
    </xf>
    <xf numFmtId="167" fontId="1" fillId="0" borderId="0" xfId="1" applyNumberFormat="1" applyFont="1" applyAlignment="1">
      <alignment vertical="center"/>
    </xf>
    <xf numFmtId="167" fontId="3" fillId="0" borderId="0" xfId="0" applyNumberFormat="1" applyFont="1" applyAlignment="1">
      <alignment vertical="center"/>
    </xf>
    <xf numFmtId="2" fontId="10" fillId="0" borderId="0" xfId="0" applyNumberFormat="1" applyFont="1" applyAlignment="1">
      <alignment horizontal="center" vertical="center"/>
    </xf>
  </cellXfs>
  <cellStyles count="4">
    <cellStyle name="Currency" xfId="1" builtinId="4"/>
    <cellStyle name="Neutral" xfId="3" builtinId="28"/>
    <cellStyle name="Normal" xfId="0" builtinId="0"/>
    <cellStyle name="Percent" xfId="2" builtinId="5"/>
  </cellStyles>
  <dxfs count="61">
    <dxf>
      <fill>
        <patternFill>
          <bgColor theme="3" tint="0.79998168889431442"/>
        </patternFill>
      </fill>
    </dxf>
    <dxf>
      <fill>
        <patternFill>
          <bgColor rgb="FFBBE4BA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6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D9D9D9"/>
          <bgColor rgb="FFD9D9D9"/>
        </patternFill>
      </fill>
    </dxf>
  </dxfs>
  <tableStyles count="1" defaultTableStyle="TableStyleMedium2" defaultPivotStyle="PivotStyleLight16">
    <tableStyle name="Monthly Budget-style" pivot="0" count="3" xr9:uid="{00000000-0011-0000-FFFF-FFFF00000000}">
      <tableStyleElement type="headerRow" dxfId="60"/>
      <tableStyleElement type="firstRowStripe" dxfId="59"/>
      <tableStyleElement type="secondRowStripe" dxfId="58"/>
    </tableStyle>
  </tableStyles>
  <colors>
    <mruColors>
      <color rgb="FFBBE4BA"/>
      <color rgb="FFEEA4A4"/>
      <color rgb="FF33CC33"/>
      <color rgb="FF00861A"/>
      <color rgb="FFD1FFCD"/>
      <color rgb="FFF6CECE"/>
      <color rgb="FFB7FF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'Extended Expenses'!$M$3:$M$38</c:f>
              <c:numCache>
                <c:formatCode>_("$"* #,##0_);_("$"* \(#,##0\);_("$"* "-"??_);_(@_)</c:formatCode>
                <c:ptCount val="36"/>
                <c:pt idx="0">
                  <c:v>2316.8294306824432</c:v>
                </c:pt>
                <c:pt idx="1">
                  <c:v>3357.2964779978843</c:v>
                </c:pt>
                <c:pt idx="2">
                  <c:v>2925.5424390730905</c:v>
                </c:pt>
                <c:pt idx="3">
                  <c:v>2846.0564673527238</c:v>
                </c:pt>
                <c:pt idx="4">
                  <c:v>1019.2329452081539</c:v>
                </c:pt>
                <c:pt idx="5">
                  <c:v>2930.2042140492254</c:v>
                </c:pt>
                <c:pt idx="6">
                  <c:v>4548.0588614313838</c:v>
                </c:pt>
                <c:pt idx="7">
                  <c:v>3382.3465302283662</c:v>
                </c:pt>
                <c:pt idx="8">
                  <c:v>147.34101475775174</c:v>
                </c:pt>
                <c:pt idx="9">
                  <c:v>2199.1453277787618</c:v>
                </c:pt>
                <c:pt idx="10">
                  <c:v>3622.608425950079</c:v>
                </c:pt>
                <c:pt idx="11">
                  <c:v>8732.3315524505724</c:v>
                </c:pt>
                <c:pt idx="12">
                  <c:v>3085.8136352413612</c:v>
                </c:pt>
                <c:pt idx="13">
                  <c:v>10311.790558277597</c:v>
                </c:pt>
                <c:pt idx="14">
                  <c:v>8359.6236618742769</c:v>
                </c:pt>
                <c:pt idx="15">
                  <c:v>566.01013344621049</c:v>
                </c:pt>
                <c:pt idx="16">
                  <c:v>4370.3111757055849</c:v>
                </c:pt>
                <c:pt idx="17">
                  <c:v>10560.337201519053</c:v>
                </c:pt>
                <c:pt idx="18">
                  <c:v>8375.730784857582</c:v>
                </c:pt>
                <c:pt idx="19">
                  <c:v>6124.352908281202</c:v>
                </c:pt>
                <c:pt idx="20">
                  <c:v>7044.5746335282711</c:v>
                </c:pt>
                <c:pt idx="21">
                  <c:v>15241.787922776826</c:v>
                </c:pt>
                <c:pt idx="22">
                  <c:v>9702.4217120220419</c:v>
                </c:pt>
                <c:pt idx="23">
                  <c:v>9267.3437556871013</c:v>
                </c:pt>
                <c:pt idx="24">
                  <c:v>12676.106149598374</c:v>
                </c:pt>
                <c:pt idx="25">
                  <c:v>19752.090003553574</c:v>
                </c:pt>
                <c:pt idx="26">
                  <c:v>18615.232577325358</c:v>
                </c:pt>
                <c:pt idx="27">
                  <c:v>14972.816200894857</c:v>
                </c:pt>
                <c:pt idx="28">
                  <c:v>11204.163385947399</c:v>
                </c:pt>
                <c:pt idx="29">
                  <c:v>20948.97844480749</c:v>
                </c:pt>
                <c:pt idx="30">
                  <c:v>17852.041069290808</c:v>
                </c:pt>
                <c:pt idx="31">
                  <c:v>18064.620562399741</c:v>
                </c:pt>
                <c:pt idx="32">
                  <c:v>22430.551028046546</c:v>
                </c:pt>
                <c:pt idx="33">
                  <c:v>12869.078271531098</c:v>
                </c:pt>
                <c:pt idx="34">
                  <c:v>16725.101222502446</c:v>
                </c:pt>
                <c:pt idx="35">
                  <c:v>17220.830469303353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52-439B-8E5A-18A89E1E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77968"/>
        <c:axId val="825304000"/>
      </c:scatterChart>
      <c:valAx>
        <c:axId val="1161177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304000"/>
        <c:crosses val="autoZero"/>
        <c:crossBetween val="midCat"/>
      </c:valAx>
      <c:valAx>
        <c:axId val="8253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177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Taxes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390525</xdr:colOff>
      <xdr:row>10</xdr:row>
      <xdr:rowOff>123825</xdr:rowOff>
    </xdr:from>
    <xdr:to>
      <xdr:col>23</xdr:col>
      <xdr:colOff>85725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BBB5E5-2749-4DCA-8431-27BBA987CD5B}" name="Table3" displayName="Table3" ref="B77:C88" headerRowCount="0" totalsRowCount="1" headerRowDxfId="57" dataDxfId="56" headerRowCellStyle="Percent" dataCellStyle="Percent">
  <tableColumns count="2">
    <tableColumn id="1" xr3:uid="{74C62904-6E0B-43BE-8F22-6571D6D0A5B5}" name="Column1" headerRowDxfId="55" dataDxfId="54" totalsRowDxfId="53"/>
    <tableColumn id="2" xr3:uid="{BDEA5D52-4DA8-4A79-910D-FF2688773768}" name="Column2" headerRowDxfId="52" dataDxfId="51" totalsRowDxfId="50" headerRowCellStyle="Currency" dataCellStyle="Currency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23AE58-EA3A-4341-B921-A6AD69AA9D59}" name="Table2" displayName="Table2" ref="B73:D74" headerRowCount="0" totalsRowShown="0">
  <tableColumns count="3">
    <tableColumn id="1" xr3:uid="{81DDB6E9-7591-4A51-988A-B2973C556734}" name="High Dividend" headerRowDxfId="49" dataDxfId="48"/>
    <tableColumn id="2" xr3:uid="{2D6AC8E6-AC08-4A39-ACAF-3F679A406939}" name=" $1,700 " headerRowDxfId="47" dataDxfId="46" headerRowCellStyle="Currency"/>
    <tableColumn id="3" xr3:uid="{31FF3711-EEB9-466F-AD4B-B52FEB9832AE}" name="2.5%" headerRowDxfId="45" dataDxfId="44" headerRow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EE7945-CF7D-42FB-8F4B-D9780CD08FEA}" name="Table32" displayName="Table32" ref="B91:G102" headerRowCount="0" totalsRowCount="1" headerRowDxfId="43" dataDxfId="42" headerRowCellStyle="Percent" dataCellStyle="Percent">
  <tableColumns count="6">
    <tableColumn id="1" xr3:uid="{3C90279B-0343-4973-AAA8-AB981AE4CFC9}" name="Column1" headerRowDxfId="41" dataDxfId="40" totalsRowDxfId="9"/>
    <tableColumn id="2" xr3:uid="{6A07ECA9-FFB3-4923-9391-ACABC74EB263}" name="Column2" totalsRowFunction="custom" headerRowDxfId="39" dataDxfId="38" totalsRowDxfId="8" headerRowCellStyle="Currency" dataCellStyle="Percent">
      <totalsRowFormula>SUM(Table32[Column2])</totalsRowFormula>
    </tableColumn>
    <tableColumn id="3" xr3:uid="{E2E32399-9DD2-4299-9613-C995519C1C57}" name="Column3" totalsRowFunction="custom" headerRowDxfId="37" dataDxfId="36" totalsRowDxfId="7" headerRowCellStyle="Percent" dataCellStyle="Percent">
      <totalsRowFormula>SUM(Table32[Column3])</totalsRowFormula>
    </tableColumn>
    <tableColumn id="4" xr3:uid="{BCEEFD64-EF47-417D-ACA2-D883338D533F}" name="Column4" totalsRowFunction="custom" headerRowDxfId="35" dataDxfId="34" totalsRowDxfId="6" headerRowCellStyle="Percent" dataCellStyle="Percent">
      <totalsRowFormula>SUM(Table32[Column4])</totalsRowFormula>
    </tableColumn>
    <tableColumn id="5" xr3:uid="{109BFDE4-7641-435C-BB60-553AE9DD120C}" name="Column5" totalsRowFunction="custom" headerRowDxfId="33" dataDxfId="32" totalsRowDxfId="5" headerRowCellStyle="Percent" dataCellStyle="Percent">
      <totalsRowFormula>SUM(Table32[Column5])</totalsRowFormula>
    </tableColumn>
    <tableColumn id="8" xr3:uid="{F6D80A39-3817-414F-A06B-E206CD3F7C8A}" name="Column6" totalsRowFunction="custom" headerRowDxfId="31" dataDxfId="30" totalsRowDxfId="4" headerRowCellStyle="Percent" dataCellStyle="Percent">
      <totalsRowFormula>SUM(Table32[Column6])</totalsRowFormula>
    </tableColumn>
  </tableColumns>
  <tableStyleInfo name="TableStyleMedium4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1451C3-3421-411E-B862-F4DEA3EE8580}" name="Table325" displayName="Table325" ref="B105:G110" headerRowCount="0" totalsRowCount="1" headerRowDxfId="29" dataDxfId="28" headerRowCellStyle="Percent" dataCellStyle="Percent">
  <tableColumns count="6">
    <tableColumn id="1" xr3:uid="{89D44FE7-D9BC-4983-80A6-DC3A2A847DD9}" name="Column1" headerRowDxfId="27" dataDxfId="26" totalsRowDxfId="25"/>
    <tableColumn id="2" xr3:uid="{FF231AA1-E33A-40B6-90DC-2246857C3CD0}" name="Column2" totalsRowFunction="custom" headerRowDxfId="24" dataDxfId="23" totalsRowDxfId="22" headerRowCellStyle="Currency" dataCellStyle="Percent">
      <totalsRowFormula>SUM(Table325[Column2])</totalsRowFormula>
    </tableColumn>
    <tableColumn id="3" xr3:uid="{C18B1A60-B696-4869-9C80-EA2BF34FF543}" name="Column3" totalsRowFunction="custom" headerRowDxfId="21" dataDxfId="20" totalsRowDxfId="19" headerRowCellStyle="Percent" dataCellStyle="Percent">
      <totalsRowFormula>SUM(Table325[Column3])</totalsRowFormula>
    </tableColumn>
    <tableColumn id="4" xr3:uid="{48464D84-83E1-4698-9883-CDE010D4AC59}" name="Column4" totalsRowFunction="custom" headerRowDxfId="18" dataDxfId="17" totalsRowDxfId="16" headerRowCellStyle="Percent" dataCellStyle="Percent">
      <totalsRowFormula>SUM(Table325[Column4])</totalsRowFormula>
    </tableColumn>
    <tableColumn id="5" xr3:uid="{865D5CC1-F483-4F5C-952C-545398C5D17F}" name="Column5" totalsRowFunction="custom" headerRowDxfId="15" dataDxfId="14" totalsRowDxfId="13" headerRowCellStyle="Percent" dataCellStyle="Percent">
      <totalsRowFormula>SUM(Table325[Column5])</totalsRowFormula>
    </tableColumn>
    <tableColumn id="8" xr3:uid="{1F376CC3-355F-4046-91D9-151B2EBB6172}" name="Column6" totalsRowFunction="custom" headerRowDxfId="12" dataDxfId="11" totalsRowDxfId="10" headerRowCellStyle="Percent" dataCellStyle="Percent">
      <totalsRowFormula>SUM(Table325[Column6])</totalsRowFormula>
    </tableColumn>
  </tableColumns>
  <tableStyleInfo name="TableStyleMedium4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79998168889431442"/>
    <outlinePr summaryBelow="0" summaryRight="0"/>
  </sheetPr>
  <dimension ref="A1:Y313"/>
  <sheetViews>
    <sheetView tabSelected="1" zoomScale="95" zoomScaleNormal="115" workbookViewId="0">
      <selection activeCell="D5" sqref="D5"/>
    </sheetView>
  </sheetViews>
  <sheetFormatPr defaultColWidth="12.6640625" defaultRowHeight="15" customHeight="1" x14ac:dyDescent="0.25"/>
  <cols>
    <col min="1" max="1" width="16.6640625" style="7" customWidth="1"/>
    <col min="2" max="2" width="20.44140625" style="7" bestFit="1" customWidth="1"/>
    <col min="3" max="3" width="16.5546875" style="7" customWidth="1"/>
    <col min="4" max="5" width="17.33203125" style="7" bestFit="1" customWidth="1"/>
    <col min="6" max="6" width="17.5546875" style="7" customWidth="1"/>
    <col min="7" max="7" width="12.109375" style="7" customWidth="1"/>
    <col min="8" max="9" width="16.44140625" style="7" customWidth="1"/>
    <col min="10" max="25" width="14.33203125" style="7" customWidth="1"/>
    <col min="26" max="16384" width="12.6640625" style="7"/>
  </cols>
  <sheetData>
    <row r="1" spans="2:24" s="38" customFormat="1" ht="15" customHeight="1" x14ac:dyDescent="0.25">
      <c r="C1" s="40" t="s">
        <v>41</v>
      </c>
      <c r="D1" s="41" t="s">
        <v>42</v>
      </c>
      <c r="E1" s="7"/>
    </row>
    <row r="2" spans="2:24" ht="23.25" customHeight="1" x14ac:dyDescent="0.25">
      <c r="B2" s="8" t="s">
        <v>233</v>
      </c>
      <c r="C2" s="84">
        <f>SUM(C3:C8)</f>
        <v>104229.4471153846</v>
      </c>
      <c r="D2" s="84">
        <f>SUM(D3:D8)</f>
        <v>89375</v>
      </c>
      <c r="E2" s="3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2:24" s="62" customFormat="1" ht="15.75" customHeight="1" x14ac:dyDescent="0.25">
      <c r="B3" s="80" t="s">
        <v>83</v>
      </c>
      <c r="C3" s="81">
        <f>95000*1.025</f>
        <v>97374.999999999985</v>
      </c>
      <c r="D3" s="81">
        <v>87410</v>
      </c>
      <c r="E3" s="138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2:24" s="62" customFormat="1" ht="15.75" customHeight="1" x14ac:dyDescent="0.25">
      <c r="B4" s="80" t="s">
        <v>84</v>
      </c>
      <c r="C4" s="81">
        <f>(C3/40/52)*(6*5)</f>
        <v>1404.4471153846152</v>
      </c>
      <c r="D4" s="81">
        <v>0</v>
      </c>
      <c r="F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2:24" s="62" customFormat="1" ht="15.75" customHeight="1" x14ac:dyDescent="0.25">
      <c r="B5" s="80" t="s">
        <v>85</v>
      </c>
      <c r="C5" s="81">
        <v>0</v>
      </c>
      <c r="D5" s="81">
        <f>1450+515</f>
        <v>1965</v>
      </c>
      <c r="F5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2:24" s="62" customFormat="1" ht="15.75" customHeight="1" x14ac:dyDescent="0.25">
      <c r="B6" s="80" t="s">
        <v>86</v>
      </c>
      <c r="C6" s="81">
        <f>0.005*90000</f>
        <v>450</v>
      </c>
      <c r="D6" s="81">
        <v>0</v>
      </c>
      <c r="F6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2:24" s="62" customFormat="1" ht="15.75" customHeight="1" x14ac:dyDescent="0.25">
      <c r="B7" s="80" t="s">
        <v>87</v>
      </c>
      <c r="C7" s="81">
        <v>0</v>
      </c>
      <c r="D7" s="81">
        <v>0</v>
      </c>
      <c r="F7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2:24" s="62" customFormat="1" ht="15.75" customHeight="1" x14ac:dyDescent="0.25">
      <c r="B8" s="80" t="s">
        <v>88</v>
      </c>
      <c r="C8" s="81">
        <v>5000</v>
      </c>
      <c r="D8" s="81">
        <v>0</v>
      </c>
      <c r="F8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2:24" s="62" customFormat="1" ht="15.75" customHeight="1" x14ac:dyDescent="0.25">
      <c r="B9" s="9"/>
      <c r="C9"/>
      <c r="D9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2:24" s="62" customFormat="1" ht="15.75" customHeight="1" x14ac:dyDescent="0.25">
      <c r="B10" s="13" t="s">
        <v>68</v>
      </c>
      <c r="C10" s="61" t="s">
        <v>70</v>
      </c>
      <c r="D10" s="61" t="s">
        <v>70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2:24" s="62" customFormat="1" ht="15.75" customHeight="1" x14ac:dyDescent="0.25">
      <c r="B11" s="13" t="s">
        <v>69</v>
      </c>
      <c r="C11" s="61" t="s">
        <v>71</v>
      </c>
      <c r="D11" s="61" t="str">
        <f>C11</f>
        <v>Single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2:24" s="62" customFormat="1" ht="15.75" customHeight="1" x14ac:dyDescent="0.25">
      <c r="B12" s="9"/>
      <c r="C12"/>
      <c r="D1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2:24" s="35" customFormat="1" ht="15.75" customHeight="1" x14ac:dyDescent="0.25">
      <c r="B13" s="13" t="s">
        <v>40</v>
      </c>
      <c r="C13" s="36">
        <f>SUM(C14,C16,C18,C20,C22)</f>
        <v>2860</v>
      </c>
      <c r="D13" s="36">
        <f>SUM(D14,D16,D18,D20,D22)</f>
        <v>2262</v>
      </c>
      <c r="E13" s="1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2:24" s="35" customFormat="1" ht="15.75" customHeight="1" x14ac:dyDescent="0.25">
      <c r="B14" s="10" t="s">
        <v>38</v>
      </c>
      <c r="C14" s="50">
        <f>C15*C2</f>
        <v>0</v>
      </c>
      <c r="D14" s="50">
        <f>D15*D2</f>
        <v>0</v>
      </c>
      <c r="E14" s="1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2:24" s="35" customFormat="1" ht="15.75" customHeight="1" x14ac:dyDescent="0.25">
      <c r="B15" s="10"/>
      <c r="C15" s="12">
        <v>0</v>
      </c>
      <c r="D15" s="12">
        <v>0</v>
      </c>
      <c r="E15" s="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2:24" s="35" customFormat="1" ht="15.75" customHeight="1" x14ac:dyDescent="0.25">
      <c r="B16" s="10" t="s">
        <v>28</v>
      </c>
      <c r="C16" s="50">
        <f>C17*26</f>
        <v>1560</v>
      </c>
      <c r="D16" s="50">
        <f>D17*26</f>
        <v>0</v>
      </c>
      <c r="E16" s="1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2:24" s="35" customFormat="1" ht="15.75" customHeight="1" x14ac:dyDescent="0.25">
      <c r="B17" s="10"/>
      <c r="C17" s="14">
        <v>60</v>
      </c>
      <c r="D17" s="14">
        <v>0</v>
      </c>
      <c r="E17" s="3" t="s">
        <v>211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2:24" ht="15.75" customHeight="1" x14ac:dyDescent="0.25">
      <c r="B18" s="10" t="s">
        <v>29</v>
      </c>
      <c r="C18" s="50">
        <f>C19*26</f>
        <v>988</v>
      </c>
      <c r="D18" s="50">
        <f>D19*26</f>
        <v>1950</v>
      </c>
      <c r="E18" s="1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2:24" ht="15.75" customHeight="1" x14ac:dyDescent="0.25">
      <c r="B19" s="10"/>
      <c r="C19" s="14">
        <v>38</v>
      </c>
      <c r="D19" s="14">
        <v>75</v>
      </c>
      <c r="E19" s="3" t="s">
        <v>211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2:24" ht="15.75" customHeight="1" x14ac:dyDescent="0.25">
      <c r="B20" s="10" t="s">
        <v>30</v>
      </c>
      <c r="C20" s="50">
        <f>C21*26</f>
        <v>78</v>
      </c>
      <c r="D20" s="50">
        <f>D21*26</f>
        <v>130</v>
      </c>
      <c r="E20" s="2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2:24" ht="15.75" customHeight="1" x14ac:dyDescent="0.25">
      <c r="B21" s="10"/>
      <c r="C21" s="14">
        <v>3</v>
      </c>
      <c r="D21" s="14">
        <v>5</v>
      </c>
      <c r="E21" s="3" t="s">
        <v>211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2:24" ht="15.75" customHeight="1" x14ac:dyDescent="0.25">
      <c r="B22" s="10" t="s">
        <v>31</v>
      </c>
      <c r="C22" s="50">
        <f>C23*26</f>
        <v>234</v>
      </c>
      <c r="D22" s="50">
        <f>D23*26</f>
        <v>182</v>
      </c>
      <c r="E22" s="2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2:24" ht="15.75" customHeight="1" x14ac:dyDescent="0.25">
      <c r="B23" s="10"/>
      <c r="C23" s="14">
        <v>9</v>
      </c>
      <c r="D23" s="14">
        <v>7</v>
      </c>
      <c r="E23" s="3" t="s">
        <v>211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2:24" s="62" customFormat="1" ht="15.75" customHeight="1" x14ac:dyDescent="0.25">
      <c r="B24"/>
      <c r="C24"/>
      <c r="D24"/>
      <c r="E24" s="1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2:24" ht="15.75" customHeight="1" x14ac:dyDescent="0.25">
      <c r="B25" s="13" t="s">
        <v>39</v>
      </c>
      <c r="C25" s="36">
        <f>SUM(C26)</f>
        <v>7789.9999999999991</v>
      </c>
      <c r="D25" s="36">
        <f>SUM(D26)</f>
        <v>6992.8</v>
      </c>
      <c r="E25" s="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2:24" ht="15.75" customHeight="1" x14ac:dyDescent="0.25">
      <c r="B26" s="10" t="s">
        <v>27</v>
      </c>
      <c r="C26" s="11">
        <f>C27*C3</f>
        <v>7789.9999999999991</v>
      </c>
      <c r="D26" s="11">
        <f>D27*D3</f>
        <v>6992.8</v>
      </c>
      <c r="E26" s="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2:24" ht="15.75" customHeight="1" x14ac:dyDescent="0.25">
      <c r="B27" s="10"/>
      <c r="C27" s="12">
        <v>0.08</v>
      </c>
      <c r="D27" s="12">
        <v>0.08</v>
      </c>
      <c r="E27" s="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2:24" s="62" customFormat="1" ht="15.75" customHeight="1" x14ac:dyDescent="0.25">
      <c r="B28"/>
      <c r="C28"/>
      <c r="D28"/>
      <c r="E28" s="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2:24" s="62" customFormat="1" ht="15.75" customHeight="1" x14ac:dyDescent="0.25">
      <c r="B29" s="13" t="s">
        <v>61</v>
      </c>
      <c r="C29" s="36">
        <f>SUM(C30:C35)</f>
        <v>34452.237753365385</v>
      </c>
      <c r="D29" s="36">
        <f>SUM(D30:D35)</f>
        <v>28693.168599999997</v>
      </c>
      <c r="E29" s="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2:24" s="62" customFormat="1" ht="15.75" customHeight="1" x14ac:dyDescent="0.25">
      <c r="B30" s="10" t="s">
        <v>62</v>
      </c>
      <c r="C30" s="63">
        <v>20081.487300000001</v>
      </c>
      <c r="D30" s="63">
        <v>16516.419999999998</v>
      </c>
      <c r="E30" s="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2:24" s="62" customFormat="1" ht="15.75" customHeight="1" x14ac:dyDescent="0.25">
      <c r="B31" s="10" t="s">
        <v>63</v>
      </c>
      <c r="C31" s="63">
        <v>5615.4768999999997</v>
      </c>
      <c r="D31" s="63">
        <v>4669.2485999999999</v>
      </c>
      <c r="E31" s="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2:24" s="62" customFormat="1" ht="15.75" customHeight="1" x14ac:dyDescent="0.25">
      <c r="B32" s="10" t="s">
        <v>64</v>
      </c>
      <c r="C32" s="63">
        <f>0*C$2</f>
        <v>0</v>
      </c>
      <c r="D32" s="63">
        <f>0*D$2</f>
        <v>0</v>
      </c>
      <c r="E32" s="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5" s="62" customFormat="1" ht="15.75" customHeight="1" x14ac:dyDescent="0.25">
      <c r="B33" s="10" t="s">
        <v>65</v>
      </c>
      <c r="C33" s="63">
        <v>6462.2257</v>
      </c>
      <c r="D33" s="63">
        <v>5541.25</v>
      </c>
      <c r="E33" s="6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5" s="62" customFormat="1" ht="15.75" customHeight="1" x14ac:dyDescent="0.25">
      <c r="B34" s="10" t="s">
        <v>66</v>
      </c>
      <c r="C34" s="63">
        <v>1511.327</v>
      </c>
      <c r="D34" s="63">
        <v>1295.9375</v>
      </c>
      <c r="E34" s="6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5" s="62" customFormat="1" ht="15.75" customHeight="1" x14ac:dyDescent="0.25">
      <c r="B35" s="10" t="s">
        <v>67</v>
      </c>
      <c r="C35" s="63">
        <f>0.0075*C$2</f>
        <v>781.72085336538441</v>
      </c>
      <c r="D35" s="63">
        <f>0.0075*D$2</f>
        <v>670.3125</v>
      </c>
      <c r="E35" s="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5" s="62" customFormat="1" ht="15.75" customHeight="1" x14ac:dyDescent="0.25">
      <c r="B36" s="78"/>
      <c r="C36" s="82">
        <f>C29/C2</f>
        <v>0.33054226715052898</v>
      </c>
      <c r="D36" s="82">
        <f>D29/D2</f>
        <v>0.32104244587412584</v>
      </c>
      <c r="E36" s="83" t="s">
        <v>89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5" ht="15.75" customHeight="1" x14ac:dyDescent="0.25">
      <c r="B37" s="15"/>
      <c r="C37" s="39"/>
      <c r="D37" s="16"/>
      <c r="E37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5" s="48" customFormat="1" ht="15.75" customHeight="1" x14ac:dyDescent="0.25">
      <c r="B38" s="8" t="s">
        <v>46</v>
      </c>
      <c r="C38" s="54">
        <f>(SUM(C3:C5)-C13-C25-C29)/12</f>
        <v>4473.1007801682672</v>
      </c>
      <c r="D38" s="54">
        <f>(SUM(D3:D5)-D13-D25-D29)/12</f>
        <v>4285.5859499999997</v>
      </c>
      <c r="E38"/>
      <c r="F38" s="49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spans="1:25" s="48" customFormat="1" ht="15.75" customHeight="1" x14ac:dyDescent="0.25">
      <c r="B39" s="15"/>
      <c r="C39" s="49"/>
      <c r="D39" s="16"/>
      <c r="E39"/>
      <c r="F39" s="49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spans="1:25" ht="15.75" customHeight="1" x14ac:dyDescent="0.25">
      <c r="B40" s="17" t="str">
        <f>A45</f>
        <v>Monthly Expenses</v>
      </c>
      <c r="C40" s="153">
        <f>C92</f>
        <v>6118.583333333333</v>
      </c>
      <c r="D40" s="153"/>
      <c r="E40" s="45">
        <f>C40/SUM($C$38:$D$38)</f>
        <v>0.69857314479105548</v>
      </c>
      <c r="F40" s="18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spans="1:25" ht="15.75" customHeight="1" x14ac:dyDescent="0.25">
      <c r="B41" s="17" t="str">
        <f>A94</f>
        <v>Monthly Savings</v>
      </c>
      <c r="C41" s="153">
        <f>C102</f>
        <v>1940.4759966736763</v>
      </c>
      <c r="D41" s="153"/>
      <c r="E41" s="45">
        <f>C41/SUM($C$38:$D$38)</f>
        <v>0.22154873857857421</v>
      </c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25" ht="15.75" customHeight="1" x14ac:dyDescent="0.25">
      <c r="B42" s="19" t="str">
        <f>A104</f>
        <v>Monthly Investments</v>
      </c>
      <c r="C42" s="153">
        <f>C113</f>
        <v>699.62740016125747</v>
      </c>
      <c r="D42" s="153"/>
      <c r="E42" s="45">
        <f>C42/SUM($C$38:$D$38)</f>
        <v>7.9878116630370297E-2</v>
      </c>
      <c r="F42" s="44"/>
      <c r="G42" s="43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spans="1:25" ht="15.75" customHeight="1" x14ac:dyDescent="0.25">
      <c r="B43" s="9" t="s">
        <v>55</v>
      </c>
      <c r="C43" s="154">
        <f>SUM(C40:C42)</f>
        <v>8758.6867301682669</v>
      </c>
      <c r="D43" s="154"/>
      <c r="E43" s="79"/>
      <c r="F43" s="38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spans="1:25" ht="15.75" customHeight="1" x14ac:dyDescent="0.25">
      <c r="A44" s="9"/>
      <c r="B44" s="20"/>
      <c r="C44" s="20"/>
      <c r="D44" s="20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spans="1:25" ht="15.75" customHeight="1" x14ac:dyDescent="0.25">
      <c r="A45" s="143" t="s">
        <v>0</v>
      </c>
      <c r="B45" s="148"/>
      <c r="C45" s="148"/>
      <c r="D45" s="148"/>
      <c r="E45" s="148"/>
      <c r="F45" s="16"/>
      <c r="G45" s="58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spans="1:25" ht="15.75" customHeight="1" x14ac:dyDescent="0.25">
      <c r="A46" s="150" t="s">
        <v>1</v>
      </c>
      <c r="B46" s="148"/>
      <c r="C46" s="53" t="s">
        <v>32</v>
      </c>
      <c r="D46" s="53" t="s">
        <v>32</v>
      </c>
      <c r="E46" s="53" t="s">
        <v>2</v>
      </c>
      <c r="F46" s="167" t="s">
        <v>231</v>
      </c>
      <c r="G46" s="58"/>
      <c r="H46" s="160" t="s">
        <v>224</v>
      </c>
      <c r="I46" s="160"/>
      <c r="J46" s="163" t="s">
        <v>225</v>
      </c>
      <c r="K46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spans="1:25" ht="15.75" hidden="1" customHeight="1" x14ac:dyDescent="0.25">
      <c r="A47" s="22"/>
      <c r="B47" s="22"/>
      <c r="C47" s="22"/>
      <c r="D47" s="22"/>
      <c r="E47" s="22"/>
      <c r="F47" s="22"/>
      <c r="G47" s="59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</row>
    <row r="48" spans="1:25" ht="15.75" customHeight="1" x14ac:dyDescent="0.25">
      <c r="A48" s="147" t="s">
        <v>3</v>
      </c>
      <c r="B48" s="4" t="s">
        <v>4</v>
      </c>
      <c r="C48" s="155">
        <v>2100</v>
      </c>
      <c r="D48" s="155"/>
      <c r="E48" s="55">
        <f>SUM(C48:D48)*12</f>
        <v>25200</v>
      </c>
      <c r="F48" s="46">
        <f t="shared" ref="F48:F91" si="0">SUM(C48:D48)/SUM($C$38:$D$38)</f>
        <v>0.23976197170824673</v>
      </c>
      <c r="G48" s="58"/>
      <c r="H48" s="161" t="s">
        <v>217</v>
      </c>
      <c r="I48" s="161"/>
      <c r="J48" s="162" t="s">
        <v>226</v>
      </c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spans="1:25" ht="15.75" customHeight="1" x14ac:dyDescent="0.25">
      <c r="A49" s="147"/>
      <c r="B49" s="4" t="s">
        <v>5</v>
      </c>
      <c r="C49" s="142">
        <v>18</v>
      </c>
      <c r="D49" s="142"/>
      <c r="E49" s="55">
        <f t="shared" ref="E49:E90" si="1">SUM(C49:D49)*12</f>
        <v>216</v>
      </c>
      <c r="F49" s="46">
        <f t="shared" si="0"/>
        <v>2.0551026146421146E-3</v>
      </c>
      <c r="G49"/>
      <c r="H49" s="161" t="s">
        <v>217</v>
      </c>
      <c r="I49" s="161"/>
      <c r="J49" s="162" t="s">
        <v>226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spans="1:25" ht="15.75" customHeight="1" x14ac:dyDescent="0.25">
      <c r="A50" s="147"/>
      <c r="B50" s="4" t="s">
        <v>6</v>
      </c>
      <c r="C50" s="142">
        <v>130</v>
      </c>
      <c r="D50" s="142"/>
      <c r="E50" s="55">
        <f t="shared" si="1"/>
        <v>1560</v>
      </c>
      <c r="F50" s="46">
        <f t="shared" si="0"/>
        <v>1.4842407772415273E-2</v>
      </c>
      <c r="G50"/>
      <c r="H50" s="161" t="s">
        <v>217</v>
      </c>
      <c r="I50" s="161"/>
      <c r="J50" s="162" t="s">
        <v>226</v>
      </c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spans="1:25" ht="15.75" customHeight="1" x14ac:dyDescent="0.25">
      <c r="A51" s="147"/>
      <c r="B51" s="4" t="s">
        <v>7</v>
      </c>
      <c r="C51" s="142">
        <v>25</v>
      </c>
      <c r="D51" s="142"/>
      <c r="E51" s="55">
        <f t="shared" si="1"/>
        <v>300</v>
      </c>
      <c r="F51" s="46">
        <f t="shared" si="0"/>
        <v>2.8543091870029372E-3</v>
      </c>
      <c r="G51"/>
      <c r="H51" s="161" t="s">
        <v>217</v>
      </c>
      <c r="I51" s="161"/>
      <c r="J51" s="162" t="s">
        <v>226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spans="1:25" ht="15.75" customHeight="1" x14ac:dyDescent="0.25">
      <c r="A52" s="147"/>
      <c r="B52" s="4" t="s">
        <v>10</v>
      </c>
      <c r="C52" s="142">
        <v>30</v>
      </c>
      <c r="D52" s="142"/>
      <c r="E52" s="55">
        <f>SUM(C52:D52)*12</f>
        <v>360</v>
      </c>
      <c r="F52" s="46">
        <f>SUM(C52:D52)/SUM($C$38:$D$38)</f>
        <v>3.4251710244035246E-3</v>
      </c>
      <c r="G52"/>
      <c r="H52" s="161" t="s">
        <v>217</v>
      </c>
      <c r="I52" s="161"/>
      <c r="J52" s="162" t="s">
        <v>226</v>
      </c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spans="1:25" ht="15.75" customHeight="1" x14ac:dyDescent="0.25">
      <c r="A53" s="147"/>
      <c r="B53" s="4" t="s">
        <v>9</v>
      </c>
      <c r="C53" s="142">
        <v>15</v>
      </c>
      <c r="D53" s="142"/>
      <c r="E53" s="55">
        <f>SUM(C53:D53)*12</f>
        <v>180</v>
      </c>
      <c r="F53" s="46">
        <f>SUM(C53:D53)/SUM($C$38:$D$38)</f>
        <v>1.7125855122017623E-3</v>
      </c>
      <c r="G53"/>
      <c r="H53" s="161" t="s">
        <v>217</v>
      </c>
      <c r="I53" s="161"/>
      <c r="J53" s="162" t="s">
        <v>226</v>
      </c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spans="1:25" ht="15.75" customHeight="1" x14ac:dyDescent="0.25">
      <c r="A54" s="147"/>
      <c r="B54" s="4" t="s">
        <v>8</v>
      </c>
      <c r="C54" s="142">
        <v>25</v>
      </c>
      <c r="D54" s="142"/>
      <c r="E54" s="55">
        <f t="shared" si="1"/>
        <v>300</v>
      </c>
      <c r="F54" s="46">
        <f t="shared" si="0"/>
        <v>2.8543091870029372E-3</v>
      </c>
      <c r="G54"/>
      <c r="H54" s="161" t="s">
        <v>217</v>
      </c>
      <c r="I54" s="161"/>
      <c r="J54" s="162" t="s">
        <v>226</v>
      </c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spans="1:25" s="62" customFormat="1" ht="15.75" customHeight="1" x14ac:dyDescent="0.25">
      <c r="A55" s="147"/>
      <c r="B55" s="4" t="s">
        <v>82</v>
      </c>
      <c r="C55" s="142">
        <v>50</v>
      </c>
      <c r="D55" s="142"/>
      <c r="E55" s="55">
        <f t="shared" si="1"/>
        <v>600</v>
      </c>
      <c r="F55" s="46">
        <f t="shared" si="0"/>
        <v>5.7086183740058744E-3</v>
      </c>
      <c r="G55"/>
      <c r="H55" s="161" t="s">
        <v>217</v>
      </c>
      <c r="I55" s="161"/>
      <c r="J55" s="162" t="s">
        <v>226</v>
      </c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spans="1:25" s="62" customFormat="1" ht="15.75" customHeight="1" x14ac:dyDescent="0.25">
      <c r="A56" s="147"/>
      <c r="B56" s="4" t="s">
        <v>12</v>
      </c>
      <c r="C56" s="142">
        <v>75</v>
      </c>
      <c r="D56" s="142"/>
      <c r="E56" s="55">
        <f t="shared" si="1"/>
        <v>900</v>
      </c>
      <c r="F56" s="46">
        <f t="shared" si="0"/>
        <v>8.562927561008812E-3</v>
      </c>
      <c r="G56"/>
      <c r="H56" s="161" t="s">
        <v>217</v>
      </c>
      <c r="I56" s="161"/>
      <c r="J56" s="162" t="s">
        <v>226</v>
      </c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spans="1:25" s="29" customFormat="1" ht="15.75" customHeight="1" x14ac:dyDescent="0.25">
      <c r="A57" s="147"/>
      <c r="B57" s="4" t="s">
        <v>33</v>
      </c>
      <c r="C57" s="142">
        <v>50</v>
      </c>
      <c r="D57" s="142"/>
      <c r="E57" s="55">
        <f t="shared" si="1"/>
        <v>600</v>
      </c>
      <c r="F57" s="46">
        <f t="shared" si="0"/>
        <v>5.7086183740058744E-3</v>
      </c>
      <c r="G57"/>
      <c r="H57" s="161" t="s">
        <v>218</v>
      </c>
      <c r="I57" s="161"/>
      <c r="J57" s="162" t="s">
        <v>227</v>
      </c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spans="1:25" ht="15.75" customHeight="1" x14ac:dyDescent="0.25">
      <c r="A58" s="147" t="s">
        <v>11</v>
      </c>
      <c r="B58" s="4" t="s">
        <v>36</v>
      </c>
      <c r="C58" s="111">
        <v>316</v>
      </c>
      <c r="D58" s="111">
        <v>309</v>
      </c>
      <c r="E58" s="55">
        <f t="shared" si="1"/>
        <v>7500</v>
      </c>
      <c r="F58" s="46">
        <f t="shared" si="0"/>
        <v>7.1357729675073422E-2</v>
      </c>
      <c r="G58"/>
      <c r="H58" s="162" t="s">
        <v>217</v>
      </c>
      <c r="I58" s="162" t="s">
        <v>218</v>
      </c>
      <c r="J58" s="162" t="s">
        <v>226</v>
      </c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spans="1:25" ht="15.75" customHeight="1" x14ac:dyDescent="0.25">
      <c r="A59" s="148"/>
      <c r="B59" s="4" t="s">
        <v>34</v>
      </c>
      <c r="C59" s="111">
        <v>165</v>
      </c>
      <c r="D59" s="111">
        <v>168</v>
      </c>
      <c r="E59" s="55">
        <f t="shared" si="1"/>
        <v>3996</v>
      </c>
      <c r="F59" s="46">
        <f t="shared" si="0"/>
        <v>3.8019398370879122E-2</v>
      </c>
      <c r="G59"/>
      <c r="H59" s="162" t="s">
        <v>217</v>
      </c>
      <c r="I59" s="162" t="s">
        <v>217</v>
      </c>
      <c r="J59" s="162" t="s">
        <v>226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spans="1:25" s="29" customFormat="1" ht="15.75" customHeight="1" x14ac:dyDescent="0.25">
      <c r="A60" s="148"/>
      <c r="B60" s="4" t="s">
        <v>35</v>
      </c>
      <c r="C60" s="141">
        <v>50</v>
      </c>
      <c r="D60" s="141">
        <v>50</v>
      </c>
      <c r="E60" s="55">
        <f t="shared" si="1"/>
        <v>1200</v>
      </c>
      <c r="F60" s="46">
        <f t="shared" si="0"/>
        <v>1.1417236748011749E-2</v>
      </c>
      <c r="G60"/>
      <c r="H60" s="162" t="s">
        <v>218</v>
      </c>
      <c r="I60" s="162" t="s">
        <v>218</v>
      </c>
      <c r="J60" s="162" t="s">
        <v>227</v>
      </c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spans="1:25" ht="15.75" customHeight="1" x14ac:dyDescent="0.25">
      <c r="A61" s="148"/>
      <c r="B61" s="4" t="s">
        <v>13</v>
      </c>
      <c r="C61" s="142">
        <v>70</v>
      </c>
      <c r="D61" s="142"/>
      <c r="E61" s="55">
        <f t="shared" si="1"/>
        <v>840</v>
      </c>
      <c r="F61" s="46">
        <f t="shared" si="0"/>
        <v>7.9920657236082233E-3</v>
      </c>
      <c r="G61"/>
      <c r="H61" s="161" t="s">
        <v>218</v>
      </c>
      <c r="I61" s="161"/>
      <c r="J61" s="162" t="s">
        <v>227</v>
      </c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spans="1:25" ht="15.75" customHeight="1" x14ac:dyDescent="0.25">
      <c r="A62" s="148"/>
      <c r="B62" s="4" t="s">
        <v>14</v>
      </c>
      <c r="C62" s="141">
        <v>75</v>
      </c>
      <c r="D62" s="141">
        <v>25</v>
      </c>
      <c r="E62" s="55">
        <f t="shared" si="1"/>
        <v>1200</v>
      </c>
      <c r="F62" s="46">
        <f t="shared" si="0"/>
        <v>1.1417236748011749E-2</v>
      </c>
      <c r="G62"/>
      <c r="H62" s="162" t="s">
        <v>218</v>
      </c>
      <c r="I62" s="162" t="s">
        <v>218</v>
      </c>
      <c r="J62" s="162" t="s">
        <v>227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spans="1:25" ht="15.75" customHeight="1" x14ac:dyDescent="0.25">
      <c r="A63" s="148"/>
      <c r="B63" s="4" t="s">
        <v>15</v>
      </c>
      <c r="C63" s="142">
        <v>20</v>
      </c>
      <c r="D63" s="142"/>
      <c r="E63" s="55">
        <f t="shared" si="1"/>
        <v>240</v>
      </c>
      <c r="F63" s="46">
        <f t="shared" si="0"/>
        <v>2.2834473496023498E-3</v>
      </c>
      <c r="G63"/>
      <c r="H63" s="161" t="s">
        <v>218</v>
      </c>
      <c r="I63" s="161"/>
      <c r="J63" s="162" t="s">
        <v>227</v>
      </c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spans="1:25" s="57" customFormat="1" ht="15.75" customHeight="1" x14ac:dyDescent="0.25">
      <c r="A64" s="147" t="s">
        <v>16</v>
      </c>
      <c r="B64" s="4" t="s">
        <v>17</v>
      </c>
      <c r="C64" s="142">
        <v>55</v>
      </c>
      <c r="D64" s="142"/>
      <c r="E64" s="55">
        <f t="shared" si="1"/>
        <v>660</v>
      </c>
      <c r="F64" s="46">
        <f t="shared" si="0"/>
        <v>6.2794802114064614E-3</v>
      </c>
      <c r="G64"/>
      <c r="H64" s="161" t="s">
        <v>217</v>
      </c>
      <c r="I64" s="161"/>
      <c r="J64" s="162" t="s">
        <v>226</v>
      </c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spans="1:25" s="57" customFormat="1" ht="15.75" customHeight="1" x14ac:dyDescent="0.25">
      <c r="A65" s="147"/>
      <c r="B65" s="4" t="s">
        <v>18</v>
      </c>
      <c r="C65" s="142">
        <v>0</v>
      </c>
      <c r="D65" s="142"/>
      <c r="E65" s="55">
        <f t="shared" si="1"/>
        <v>0</v>
      </c>
      <c r="F65" s="46">
        <f t="shared" si="0"/>
        <v>0</v>
      </c>
      <c r="G65"/>
      <c r="H65" s="161" t="s">
        <v>217</v>
      </c>
      <c r="I65" s="161"/>
      <c r="J65" s="162" t="s">
        <v>226</v>
      </c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spans="1:25" s="57" customFormat="1" ht="15.75" customHeight="1" x14ac:dyDescent="0.25">
      <c r="A66" s="147"/>
      <c r="B66" s="4" t="s">
        <v>19</v>
      </c>
      <c r="C66" s="142">
        <v>10</v>
      </c>
      <c r="D66" s="142"/>
      <c r="E66" s="55">
        <f t="shared" si="1"/>
        <v>120</v>
      </c>
      <c r="F66" s="46">
        <f t="shared" si="0"/>
        <v>1.1417236748011749E-3</v>
      </c>
      <c r="G66"/>
      <c r="H66" s="161" t="s">
        <v>218</v>
      </c>
      <c r="I66" s="161"/>
      <c r="J66" s="162" t="s">
        <v>227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spans="1:25" s="57" customFormat="1" ht="15.75" customHeight="1" x14ac:dyDescent="0.25">
      <c r="A67" s="147"/>
      <c r="B67" s="4" t="s">
        <v>20</v>
      </c>
      <c r="C67" s="142">
        <v>0</v>
      </c>
      <c r="D67" s="142"/>
      <c r="E67" s="55">
        <f t="shared" si="1"/>
        <v>0</v>
      </c>
      <c r="F67" s="46">
        <f t="shared" si="0"/>
        <v>0</v>
      </c>
      <c r="G67"/>
      <c r="H67" s="161" t="s">
        <v>218</v>
      </c>
      <c r="I67" s="161"/>
      <c r="J67" s="162" t="s">
        <v>227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25" s="57" customFormat="1" ht="15.75" customHeight="1" x14ac:dyDescent="0.25">
      <c r="A68" s="147"/>
      <c r="B68" s="4" t="s">
        <v>37</v>
      </c>
      <c r="C68" s="142">
        <v>12</v>
      </c>
      <c r="D68" s="142"/>
      <c r="E68" s="55">
        <f t="shared" si="1"/>
        <v>144</v>
      </c>
      <c r="F68" s="46">
        <f t="shared" si="0"/>
        <v>1.3700684097614098E-3</v>
      </c>
      <c r="G68"/>
      <c r="H68" s="161" t="s">
        <v>218</v>
      </c>
      <c r="I68" s="161"/>
      <c r="J68" s="162" t="s">
        <v>227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spans="1:25" s="137" customFormat="1" ht="15.75" customHeight="1" x14ac:dyDescent="0.25">
      <c r="A69" s="147"/>
      <c r="B69" s="4" t="s">
        <v>213</v>
      </c>
      <c r="C69" s="142">
        <v>0</v>
      </c>
      <c r="D69" s="142"/>
      <c r="E69" s="55">
        <f>SUM(C69:D69)*12</f>
        <v>0</v>
      </c>
      <c r="F69" s="46">
        <f t="shared" si="0"/>
        <v>0</v>
      </c>
      <c r="G69"/>
      <c r="H69" s="161" t="s">
        <v>218</v>
      </c>
      <c r="I69" s="161"/>
      <c r="J69" s="162" t="s">
        <v>227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1:25" s="62" customFormat="1" ht="15.75" customHeight="1" x14ac:dyDescent="0.25">
      <c r="A70" s="147"/>
      <c r="B70" s="4" t="s">
        <v>57</v>
      </c>
      <c r="C70" s="142">
        <f>60/12</f>
        <v>5</v>
      </c>
      <c r="D70" s="142"/>
      <c r="E70" s="55">
        <f>SUM(C70:D70)*12</f>
        <v>60</v>
      </c>
      <c r="F70" s="46">
        <f t="shared" si="0"/>
        <v>5.7086183740058744E-4</v>
      </c>
      <c r="G70"/>
      <c r="H70" s="161" t="s">
        <v>218</v>
      </c>
      <c r="I70" s="161"/>
      <c r="J70" s="162" t="s">
        <v>227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spans="1:25" s="62" customFormat="1" ht="15.75" customHeight="1" x14ac:dyDescent="0.25">
      <c r="A71" s="147"/>
      <c r="B71" s="4" t="s">
        <v>192</v>
      </c>
      <c r="C71" s="142">
        <f>75/12</f>
        <v>6.25</v>
      </c>
      <c r="D71" s="142"/>
      <c r="E71" s="55">
        <f>SUM(C71:D71)*12</f>
        <v>75</v>
      </c>
      <c r="F71" s="46">
        <f t="shared" si="0"/>
        <v>7.135772967507343E-4</v>
      </c>
      <c r="G71"/>
      <c r="H71" s="161" t="s">
        <v>218</v>
      </c>
      <c r="I71" s="161"/>
      <c r="J71" s="162" t="s">
        <v>227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spans="1:25" s="57" customFormat="1" ht="15.75" customHeight="1" x14ac:dyDescent="0.25">
      <c r="A72" s="147"/>
      <c r="B72" s="4" t="s">
        <v>21</v>
      </c>
      <c r="C72" s="142">
        <v>75</v>
      </c>
      <c r="D72" s="142"/>
      <c r="E72" s="55">
        <f t="shared" si="1"/>
        <v>900</v>
      </c>
      <c r="F72" s="46">
        <f t="shared" si="0"/>
        <v>8.562927561008812E-3</v>
      </c>
      <c r="G72"/>
      <c r="H72" s="161" t="s">
        <v>218</v>
      </c>
      <c r="I72" s="161"/>
      <c r="J72" s="162" t="s">
        <v>227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spans="1:25" s="42" customFormat="1" ht="15.75" customHeight="1" x14ac:dyDescent="0.25">
      <c r="A73" s="149" t="s">
        <v>43</v>
      </c>
      <c r="B73" s="4" t="s">
        <v>29</v>
      </c>
      <c r="C73" s="141">
        <v>50</v>
      </c>
      <c r="D73" s="141">
        <v>15</v>
      </c>
      <c r="E73" s="55">
        <f t="shared" si="1"/>
        <v>780</v>
      </c>
      <c r="F73" s="46">
        <f t="shared" si="0"/>
        <v>7.4212038862076363E-3</v>
      </c>
      <c r="G73"/>
      <c r="H73" s="162" t="s">
        <v>218</v>
      </c>
      <c r="I73" s="162" t="s">
        <v>218</v>
      </c>
      <c r="J73" s="162" t="s">
        <v>227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spans="1:25" s="42" customFormat="1" ht="15.75" customHeight="1" x14ac:dyDescent="0.25">
      <c r="A74" s="149"/>
      <c r="B74" s="4" t="s">
        <v>169</v>
      </c>
      <c r="C74" s="141">
        <v>20</v>
      </c>
      <c r="D74" s="141">
        <v>50</v>
      </c>
      <c r="E74" s="55">
        <f t="shared" si="1"/>
        <v>840</v>
      </c>
      <c r="F74" s="46">
        <f t="shared" si="0"/>
        <v>7.9920657236082233E-3</v>
      </c>
      <c r="G74"/>
      <c r="H74" s="162" t="s">
        <v>218</v>
      </c>
      <c r="I74" s="162" t="s">
        <v>218</v>
      </c>
      <c r="J74" s="162" t="s">
        <v>227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spans="1:25" s="42" customFormat="1" ht="15.75" customHeight="1" x14ac:dyDescent="0.25">
      <c r="A75" s="149"/>
      <c r="B75" s="4" t="s">
        <v>170</v>
      </c>
      <c r="C75" s="141">
        <v>40</v>
      </c>
      <c r="D75" s="141">
        <v>40</v>
      </c>
      <c r="E75" s="55">
        <f t="shared" si="1"/>
        <v>960</v>
      </c>
      <c r="F75" s="46">
        <f t="shared" si="0"/>
        <v>9.133789398409399E-3</v>
      </c>
      <c r="G75"/>
      <c r="H75" s="162" t="s">
        <v>218</v>
      </c>
      <c r="I75" s="162" t="s">
        <v>218</v>
      </c>
      <c r="J75" s="162" t="s">
        <v>227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spans="1:25" s="57" customFormat="1" ht="15.75" customHeight="1" x14ac:dyDescent="0.25">
      <c r="A76" s="149" t="s">
        <v>54</v>
      </c>
      <c r="B76" s="4" t="s">
        <v>44</v>
      </c>
      <c r="C76" s="142">
        <v>600</v>
      </c>
      <c r="D76" s="142"/>
      <c r="E76" s="55">
        <f t="shared" si="1"/>
        <v>7200</v>
      </c>
      <c r="F76" s="46">
        <f t="shared" si="0"/>
        <v>6.8503420488070496E-2</v>
      </c>
      <c r="G76"/>
      <c r="H76" s="161" t="s">
        <v>218</v>
      </c>
      <c r="I76" s="161"/>
      <c r="J76" s="162" t="s">
        <v>227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spans="1:25" s="57" customFormat="1" ht="15.75" customHeight="1" x14ac:dyDescent="0.25">
      <c r="A77" s="149"/>
      <c r="B77" s="4" t="s">
        <v>45</v>
      </c>
      <c r="C77" s="142">
        <v>200</v>
      </c>
      <c r="D77" s="142"/>
      <c r="E77" s="55">
        <f t="shared" si="1"/>
        <v>2400</v>
      </c>
      <c r="F77" s="46">
        <f t="shared" si="0"/>
        <v>2.2834473496023498E-2</v>
      </c>
      <c r="G77"/>
      <c r="H77" s="161" t="s">
        <v>218</v>
      </c>
      <c r="I77" s="161"/>
      <c r="J77" s="162" t="s">
        <v>227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spans="1:25" s="57" customFormat="1" ht="15.75" customHeight="1" x14ac:dyDescent="0.25">
      <c r="A78" s="149"/>
      <c r="B78" s="4" t="s">
        <v>49</v>
      </c>
      <c r="C78" s="142">
        <v>50</v>
      </c>
      <c r="D78" s="142"/>
      <c r="E78" s="55">
        <f t="shared" si="1"/>
        <v>600</v>
      </c>
      <c r="F78" s="46">
        <f t="shared" si="0"/>
        <v>5.7086183740058744E-3</v>
      </c>
      <c r="G78"/>
      <c r="H78" s="161" t="s">
        <v>218</v>
      </c>
      <c r="I78" s="161"/>
      <c r="J78" s="162" t="s">
        <v>227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spans="1:25" s="62" customFormat="1" ht="15.75" customHeight="1" x14ac:dyDescent="0.25">
      <c r="A79" s="151" t="s">
        <v>56</v>
      </c>
      <c r="B79" s="4" t="s">
        <v>191</v>
      </c>
      <c r="C79" s="142">
        <v>75</v>
      </c>
      <c r="D79" s="142"/>
      <c r="E79" s="55">
        <f t="shared" ref="E79:E84" si="2">SUM(C79:D79)*12</f>
        <v>900</v>
      </c>
      <c r="F79" s="46">
        <f t="shared" si="0"/>
        <v>8.562927561008812E-3</v>
      </c>
      <c r="G79"/>
      <c r="H79" s="161" t="s">
        <v>218</v>
      </c>
      <c r="I79" s="161"/>
      <c r="J79" s="162" t="s">
        <v>227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spans="1:25" s="62" customFormat="1" ht="15.75" customHeight="1" x14ac:dyDescent="0.25">
      <c r="A80" s="151"/>
      <c r="B80" s="4" t="s">
        <v>181</v>
      </c>
      <c r="C80" s="142">
        <v>20</v>
      </c>
      <c r="D80" s="142"/>
      <c r="E80" s="55">
        <f t="shared" si="2"/>
        <v>240</v>
      </c>
      <c r="F80" s="46">
        <f>SUM(C80:D80)/SUM($C$38:$D$38)</f>
        <v>2.2834473496023498E-3</v>
      </c>
      <c r="G80"/>
      <c r="H80" s="161" t="s">
        <v>218</v>
      </c>
      <c r="I80" s="161"/>
      <c r="J80" s="162" t="s">
        <v>227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spans="1:25" s="62" customFormat="1" ht="15.75" customHeight="1" x14ac:dyDescent="0.25">
      <c r="A81" s="151"/>
      <c r="B81" s="4" t="s">
        <v>59</v>
      </c>
      <c r="C81" s="142">
        <v>15</v>
      </c>
      <c r="D81" s="142"/>
      <c r="E81" s="55">
        <f t="shared" si="2"/>
        <v>180</v>
      </c>
      <c r="F81" s="46">
        <f t="shared" si="0"/>
        <v>1.7125855122017623E-3</v>
      </c>
      <c r="G81"/>
      <c r="H81" s="161" t="s">
        <v>218</v>
      </c>
      <c r="I81" s="161"/>
      <c r="J81" s="162" t="s">
        <v>227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spans="1:25" s="122" customFormat="1" ht="15.75" customHeight="1" x14ac:dyDescent="0.25">
      <c r="A82" s="151"/>
      <c r="B82" s="4" t="s">
        <v>178</v>
      </c>
      <c r="C82" s="142">
        <v>0</v>
      </c>
      <c r="D82" s="142"/>
      <c r="E82" s="55">
        <f t="shared" si="2"/>
        <v>0</v>
      </c>
      <c r="F82" s="46">
        <f t="shared" si="0"/>
        <v>0</v>
      </c>
      <c r="G82"/>
      <c r="H82" s="161" t="s">
        <v>218</v>
      </c>
      <c r="I82" s="161"/>
      <c r="J82" s="162" t="s">
        <v>227</v>
      </c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spans="1:25" s="137" customFormat="1" ht="15.75" customHeight="1" x14ac:dyDescent="0.25">
      <c r="A83" s="151"/>
      <c r="B83" s="4" t="s">
        <v>123</v>
      </c>
      <c r="C83" s="142">
        <v>31</v>
      </c>
      <c r="D83" s="142"/>
      <c r="E83" s="55">
        <f t="shared" si="2"/>
        <v>372</v>
      </c>
      <c r="F83" s="46">
        <f t="shared" si="0"/>
        <v>3.5393433918836422E-3</v>
      </c>
      <c r="G83"/>
      <c r="H83" s="161" t="s">
        <v>218</v>
      </c>
      <c r="I83" s="161"/>
      <c r="J83" s="162" t="s">
        <v>227</v>
      </c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spans="1:25" s="62" customFormat="1" ht="15.75" customHeight="1" x14ac:dyDescent="0.25">
      <c r="A84" s="151"/>
      <c r="B84" s="4" t="s">
        <v>58</v>
      </c>
      <c r="C84" s="142">
        <f>(100+300)/12</f>
        <v>33.333333333333336</v>
      </c>
      <c r="D84" s="142"/>
      <c r="E84" s="55">
        <f t="shared" si="2"/>
        <v>400</v>
      </c>
      <c r="F84" s="46">
        <f t="shared" si="0"/>
        <v>3.8057455826705834E-3</v>
      </c>
      <c r="G84"/>
      <c r="H84" s="161" t="s">
        <v>218</v>
      </c>
      <c r="I84" s="161"/>
      <c r="J84" s="162" t="s">
        <v>227</v>
      </c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spans="1:25" s="139" customFormat="1" ht="15.75" customHeight="1" x14ac:dyDescent="0.25">
      <c r="A85" s="147" t="s">
        <v>22</v>
      </c>
      <c r="B85" s="4" t="s">
        <v>60</v>
      </c>
      <c r="C85" s="141">
        <v>0</v>
      </c>
      <c r="D85" s="141">
        <v>0</v>
      </c>
      <c r="E85" s="55">
        <f t="shared" si="1"/>
        <v>0</v>
      </c>
      <c r="F85" s="46">
        <f t="shared" si="0"/>
        <v>0</v>
      </c>
      <c r="G85"/>
      <c r="H85" s="162" t="s">
        <v>217</v>
      </c>
      <c r="I85" s="162" t="s">
        <v>218</v>
      </c>
      <c r="J85" s="162" t="s">
        <v>226</v>
      </c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spans="1:25" s="139" customFormat="1" ht="15.75" customHeight="1" x14ac:dyDescent="0.25">
      <c r="A86" s="147"/>
      <c r="B86" s="139" t="s">
        <v>52</v>
      </c>
      <c r="C86" s="142">
        <v>0</v>
      </c>
      <c r="D86" s="142"/>
      <c r="E86" s="55">
        <f t="shared" si="1"/>
        <v>0</v>
      </c>
      <c r="F86" s="46">
        <f t="shared" si="0"/>
        <v>0</v>
      </c>
      <c r="G86"/>
      <c r="H86" s="161" t="s">
        <v>217</v>
      </c>
      <c r="I86" s="161"/>
      <c r="J86" s="162" t="s">
        <v>226</v>
      </c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spans="1:25" s="139" customFormat="1" ht="15.75" customHeight="1" x14ac:dyDescent="0.25">
      <c r="A87" s="147"/>
      <c r="B87" s="139" t="s">
        <v>50</v>
      </c>
      <c r="C87" s="142">
        <v>200</v>
      </c>
      <c r="D87" s="142"/>
      <c r="E87" s="55">
        <f t="shared" si="1"/>
        <v>2400</v>
      </c>
      <c r="F87" s="46">
        <f t="shared" si="0"/>
        <v>2.2834473496023498E-2</v>
      </c>
      <c r="G87"/>
      <c r="H87" s="161" t="s">
        <v>218</v>
      </c>
      <c r="I87" s="161"/>
      <c r="J87" s="162" t="s">
        <v>227</v>
      </c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spans="1:25" s="139" customFormat="1" ht="15.75" customHeight="1" x14ac:dyDescent="0.25">
      <c r="A88" s="147"/>
      <c r="B88" s="139" t="s">
        <v>51</v>
      </c>
      <c r="C88" s="142">
        <v>100</v>
      </c>
      <c r="D88" s="142"/>
      <c r="E88" s="55">
        <f t="shared" si="1"/>
        <v>1200</v>
      </c>
      <c r="F88" s="46">
        <f t="shared" si="0"/>
        <v>1.1417236748011749E-2</v>
      </c>
      <c r="G88"/>
      <c r="H88" s="161" t="s">
        <v>217</v>
      </c>
      <c r="I88" s="161"/>
      <c r="J88" s="162" t="s">
        <v>227</v>
      </c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spans="1:25" s="57" customFormat="1" ht="15.75" customHeight="1" x14ac:dyDescent="0.25">
      <c r="A89" s="147"/>
      <c r="B89" s="4" t="s">
        <v>48</v>
      </c>
      <c r="C89" s="142">
        <v>350</v>
      </c>
      <c r="D89" s="142"/>
      <c r="E89" s="55">
        <f>SUM(C89:D89)*12</f>
        <v>4200</v>
      </c>
      <c r="F89" s="46">
        <f>SUM(C89:D89)/SUM($C$38:$D$38)</f>
        <v>3.9960328618041122E-2</v>
      </c>
      <c r="G89"/>
      <c r="H89" s="161" t="s">
        <v>218</v>
      </c>
      <c r="I89" s="161"/>
      <c r="J89" s="162" t="s">
        <v>227</v>
      </c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spans="1:25" s="139" customFormat="1" ht="15.75" customHeight="1" x14ac:dyDescent="0.25">
      <c r="A90" s="147"/>
      <c r="B90" s="4" t="s">
        <v>53</v>
      </c>
      <c r="C90" s="156">
        <v>300</v>
      </c>
      <c r="D90" s="156"/>
      <c r="E90" s="55">
        <f t="shared" si="1"/>
        <v>3600</v>
      </c>
      <c r="F90" s="46">
        <f t="shared" si="0"/>
        <v>3.4251710244035248E-2</v>
      </c>
      <c r="G90"/>
      <c r="H90" s="161" t="s">
        <v>218</v>
      </c>
      <c r="I90" s="161"/>
      <c r="J90" s="162" t="s">
        <v>227</v>
      </c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spans="1:25" ht="15.75" hidden="1" customHeight="1" x14ac:dyDescent="0.25">
      <c r="A91" s="25"/>
      <c r="B91" s="25"/>
      <c r="C91" s="25"/>
      <c r="D91" s="25"/>
      <c r="E91" s="25"/>
      <c r="F91" s="46">
        <f t="shared" si="0"/>
        <v>0</v>
      </c>
      <c r="G91" s="59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</row>
    <row r="92" spans="1:25" ht="15.75" customHeight="1" x14ac:dyDescent="0.25">
      <c r="A92" s="146" t="s">
        <v>23</v>
      </c>
      <c r="B92" s="146"/>
      <c r="C92" s="145">
        <f>SUM(C47:D91)</f>
        <v>6118.583333333333</v>
      </c>
      <c r="D92" s="145"/>
      <c r="E92" s="26">
        <f>SUM(E47:E91)</f>
        <v>73423</v>
      </c>
      <c r="F92" s="24"/>
      <c r="G92" s="58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spans="1:25" ht="15.75" customHeight="1" x14ac:dyDescent="0.25">
      <c r="A93" s="4"/>
      <c r="B93" s="5"/>
      <c r="C93" s="5"/>
      <c r="D93" s="5"/>
      <c r="E93" s="4"/>
      <c r="F93" s="6"/>
      <c r="G93" s="60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spans="1:25" ht="15.75" customHeight="1" x14ac:dyDescent="0.25">
      <c r="A94" s="143" t="s">
        <v>72</v>
      </c>
      <c r="B94" s="143"/>
      <c r="C94" s="143"/>
      <c r="D94" s="143"/>
      <c r="E94" s="143"/>
      <c r="F94" s="16"/>
      <c r="I94" s="4"/>
      <c r="J94"/>
      <c r="K9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spans="1:25" ht="15.75" customHeight="1" x14ac:dyDescent="0.25">
      <c r="A95" s="150" t="s">
        <v>24</v>
      </c>
      <c r="B95" s="150"/>
      <c r="C95" s="21" t="s">
        <v>32</v>
      </c>
      <c r="D95" s="21" t="s">
        <v>32</v>
      </c>
      <c r="E95" s="21" t="s">
        <v>2</v>
      </c>
      <c r="F95" s="167" t="s">
        <v>231</v>
      </c>
      <c r="G95" s="167" t="s">
        <v>232</v>
      </c>
      <c r="H95"/>
      <c r="I95"/>
      <c r="J95"/>
      <c r="K95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spans="1:25" ht="15.75" hidden="1" customHeight="1" x14ac:dyDescent="0.25">
      <c r="A96" s="22"/>
      <c r="B96" s="22"/>
      <c r="C96" s="22"/>
      <c r="D96" s="22"/>
      <c r="E96" s="22"/>
      <c r="F96" s="22"/>
      <c r="H96"/>
      <c r="I96"/>
      <c r="J96"/>
      <c r="K96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</row>
    <row r="97" spans="1:25" ht="15.75" customHeight="1" x14ac:dyDescent="0.25">
      <c r="A97" s="144" t="s">
        <v>25</v>
      </c>
      <c r="B97" s="144"/>
      <c r="C97" s="140">
        <f>$F97*(SUM($C$38:$D$38)-$C$92)*(LEFT($G97,FIND("/",$G97)-1)/100)</f>
        <v>52.802067936698677</v>
      </c>
      <c r="D97" s="140">
        <f>$F97*(SUM($C$38:$D$38)-$C$92)*(RIGHT($G97,LEN($G97)-FIND("/",$G97))/100)</f>
        <v>0</v>
      </c>
      <c r="E97" s="52">
        <f>SUM(C97:D97)*12</f>
        <v>633.62481524038412</v>
      </c>
      <c r="F97" s="47">
        <v>0.02</v>
      </c>
      <c r="G97" s="109" t="s">
        <v>228</v>
      </c>
      <c r="H97"/>
      <c r="I97"/>
      <c r="J97"/>
      <c r="K97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spans="1:25" ht="15.75" customHeight="1" x14ac:dyDescent="0.25">
      <c r="A98" s="144" t="s">
        <v>47</v>
      </c>
      <c r="B98" s="144"/>
      <c r="C98" s="140">
        <f>$F98*(SUM($C$38:$D$38)-$C$92)*(LEFT($G98,FIND("/",$G98)-1)/100)</f>
        <v>0</v>
      </c>
      <c r="D98" s="140">
        <f>$F98*(SUM($C$38:$D$38)-$C$92)*(RIGHT($G98,LEN($G98)-FIND("/",$G98))/100)</f>
        <v>1504.8589361959121</v>
      </c>
      <c r="E98" s="52">
        <f>SUM(C98:D98)*12</f>
        <v>18058.307234350945</v>
      </c>
      <c r="F98" s="47">
        <v>0.56999999999999995</v>
      </c>
      <c r="G98" s="109" t="s">
        <v>229</v>
      </c>
      <c r="H98"/>
      <c r="I98"/>
      <c r="J98"/>
      <c r="K98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spans="1:25" ht="15.75" customHeight="1" x14ac:dyDescent="0.25">
      <c r="A99" s="144" t="s">
        <v>26</v>
      </c>
      <c r="B99" s="144"/>
      <c r="C99" s="140">
        <f>$F99*(SUM($C$38:$D$38)-$C$92)*(LEFT($G99,FIND("/",$G99)-1)/100)</f>
        <v>303.61189063601739</v>
      </c>
      <c r="D99" s="140">
        <f>$F99*(SUM($C$38:$D$38)-$C$92)*(RIGHT($G99,LEN($G99)-FIND("/",$G99))/100)</f>
        <v>0</v>
      </c>
      <c r="E99" s="52">
        <f>SUM(C99:D99)*12</f>
        <v>3643.3426876322087</v>
      </c>
      <c r="F99" s="47">
        <v>0.115</v>
      </c>
      <c r="G99" s="109" t="s">
        <v>228</v>
      </c>
      <c r="H99"/>
      <c r="I99"/>
      <c r="J99"/>
      <c r="K99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spans="1:25" ht="15.75" customHeight="1" x14ac:dyDescent="0.25">
      <c r="A100" s="144" t="s">
        <v>105</v>
      </c>
      <c r="B100" s="144"/>
      <c r="C100" s="140">
        <f>$F100*(SUM($C$38:$D$38)-$C$92)*(LEFT($G100,FIND("/",$G100)-1)/100)</f>
        <v>79.203101905048015</v>
      </c>
      <c r="D100" s="140">
        <f>$F100*(SUM($C$38:$D$38)-$C$92)*(RIGHT($G100,LEN($G100)-FIND("/",$G100))/100)</f>
        <v>0</v>
      </c>
      <c r="E100" s="56">
        <f>SUM(C100:D100)*12</f>
        <v>950.43722286057618</v>
      </c>
      <c r="F100" s="47">
        <v>0.03</v>
      </c>
      <c r="G100" s="109" t="s">
        <v>228</v>
      </c>
      <c r="H100"/>
      <c r="I100"/>
      <c r="J100"/>
      <c r="K100"/>
    </row>
    <row r="101" spans="1:25" s="28" customFormat="1" ht="15.75" hidden="1" customHeight="1" x14ac:dyDescent="0.25">
      <c r="A101" s="25"/>
      <c r="B101" s="25"/>
      <c r="C101" s="25"/>
      <c r="D101" s="25"/>
      <c r="E101" s="25"/>
      <c r="F101" s="31"/>
      <c r="H101"/>
      <c r="I101"/>
      <c r="J101"/>
      <c r="K101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</row>
    <row r="102" spans="1:25" ht="15.75" customHeight="1" x14ac:dyDescent="0.25">
      <c r="A102" s="146" t="s">
        <v>23</v>
      </c>
      <c r="B102" s="146"/>
      <c r="C102" s="145">
        <f>SUM(C96:D101)</f>
        <v>1940.4759966736763</v>
      </c>
      <c r="D102" s="145"/>
      <c r="E102" s="26">
        <f>SUM(E96:E101)</f>
        <v>23285.711960084111</v>
      </c>
      <c r="F102" s="32"/>
      <c r="H102"/>
      <c r="I102"/>
      <c r="J102"/>
      <c r="K102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spans="1:25" ht="15.75" customHeight="1" x14ac:dyDescent="0.25">
      <c r="A103" s="4"/>
      <c r="B103" s="4"/>
      <c r="C103" s="5"/>
      <c r="D103" s="4"/>
      <c r="E103" s="4"/>
      <c r="F103" s="32"/>
      <c r="H103"/>
      <c r="I103"/>
      <c r="J103"/>
      <c r="K103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spans="1:25" ht="15.75" customHeight="1" x14ac:dyDescent="0.25">
      <c r="A104" s="143" t="s">
        <v>73</v>
      </c>
      <c r="B104" s="143"/>
      <c r="C104" s="143"/>
      <c r="D104" s="143"/>
      <c r="E104" s="143"/>
      <c r="F104" s="32"/>
      <c r="H104"/>
      <c r="I104"/>
      <c r="J104"/>
      <c r="K10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spans="1:25" ht="15.75" customHeight="1" x14ac:dyDescent="0.25">
      <c r="A105" s="150" t="s">
        <v>24</v>
      </c>
      <c r="B105" s="150"/>
      <c r="C105" s="21" t="s">
        <v>32</v>
      </c>
      <c r="D105" s="21" t="s">
        <v>32</v>
      </c>
      <c r="E105" s="21" t="s">
        <v>2</v>
      </c>
      <c r="F105" s="33"/>
      <c r="H105"/>
      <c r="I105"/>
      <c r="J105"/>
      <c r="K105"/>
    </row>
    <row r="106" spans="1:25" ht="15.75" hidden="1" customHeight="1" x14ac:dyDescent="0.25">
      <c r="A106" s="22"/>
      <c r="B106" s="22"/>
      <c r="C106" s="22"/>
      <c r="D106" s="22"/>
      <c r="E106" s="22"/>
      <c r="F106" s="34"/>
      <c r="H106"/>
      <c r="I106"/>
      <c r="J106"/>
      <c r="K106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</row>
    <row r="107" spans="1:25" s="139" customFormat="1" ht="15.75" customHeight="1" x14ac:dyDescent="0.25">
      <c r="A107" s="152" t="s">
        <v>98</v>
      </c>
      <c r="B107" s="152"/>
      <c r="C107" s="140">
        <f t="shared" ref="C107:C111" si="3">$F107*(SUM($C$38:$D$38)-$C$92)*(LEFT($G107,FIND("/",$G107)-1)/100)</f>
        <v>0</v>
      </c>
      <c r="D107" s="140">
        <f t="shared" ref="D107:D111" si="4">$F107*(SUM($C$38:$D$38)-$C$92)*(RIGHT($G107,LEN($G107)-FIND("/",$G107))/100)</f>
        <v>0</v>
      </c>
      <c r="E107" s="52">
        <f t="shared" ref="E107:E111" si="5">SUM(C107:D107)*12</f>
        <v>0</v>
      </c>
      <c r="F107" s="47">
        <f>INPUTS!C91</f>
        <v>0</v>
      </c>
      <c r="G107" s="109" t="s">
        <v>228</v>
      </c>
      <c r="H107"/>
      <c r="I107"/>
      <c r="J107"/>
      <c r="K107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spans="1:25" ht="15.6" customHeight="1" x14ac:dyDescent="0.25">
      <c r="A108" s="152" t="s">
        <v>195</v>
      </c>
      <c r="B108" s="152"/>
      <c r="C108" s="140">
        <f t="shared" si="3"/>
        <v>0</v>
      </c>
      <c r="D108" s="140">
        <f t="shared" si="4"/>
        <v>0</v>
      </c>
      <c r="E108" s="55">
        <f t="shared" si="5"/>
        <v>0</v>
      </c>
      <c r="F108" s="47">
        <f>INPUTS!C92</f>
        <v>0</v>
      </c>
      <c r="G108" s="109" t="s">
        <v>228</v>
      </c>
      <c r="H108"/>
      <c r="I108"/>
      <c r="J108"/>
      <c r="K108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spans="1:25" ht="15.75" customHeight="1" x14ac:dyDescent="0.25">
      <c r="A109" s="152" t="s">
        <v>196</v>
      </c>
      <c r="B109" s="152"/>
      <c r="C109" s="140">
        <f t="shared" si="3"/>
        <v>79.203101905048015</v>
      </c>
      <c r="D109" s="140">
        <f t="shared" si="4"/>
        <v>0</v>
      </c>
      <c r="E109" s="52">
        <f t="shared" si="5"/>
        <v>950.43722286057618</v>
      </c>
      <c r="F109" s="47">
        <v>0.03</v>
      </c>
      <c r="G109" s="109" t="s">
        <v>228</v>
      </c>
      <c r="H109"/>
      <c r="I109"/>
      <c r="J109"/>
      <c r="K109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spans="1:25" ht="15.75" customHeight="1" x14ac:dyDescent="0.25">
      <c r="A110" s="152" t="s">
        <v>197</v>
      </c>
      <c r="B110" s="152"/>
      <c r="C110" s="140">
        <f t="shared" si="3"/>
        <v>79.203101905048015</v>
      </c>
      <c r="D110" s="140">
        <f t="shared" si="4"/>
        <v>0</v>
      </c>
      <c r="E110" s="52">
        <f t="shared" si="5"/>
        <v>950.43722286057618</v>
      </c>
      <c r="F110" s="47">
        <v>0.03</v>
      </c>
      <c r="G110" s="109" t="s">
        <v>228</v>
      </c>
      <c r="H110"/>
      <c r="I110"/>
      <c r="J110"/>
      <c r="K110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spans="1:25" ht="15.75" customHeight="1" x14ac:dyDescent="0.25">
      <c r="A111" s="152" t="s">
        <v>198</v>
      </c>
      <c r="B111" s="152"/>
      <c r="C111" s="140">
        <f t="shared" si="3"/>
        <v>541.22119635116144</v>
      </c>
      <c r="D111" s="140">
        <f t="shared" si="4"/>
        <v>0</v>
      </c>
      <c r="E111" s="56">
        <f t="shared" si="5"/>
        <v>6494.6543562139377</v>
      </c>
      <c r="F111" s="47">
        <v>0.20499999999999999</v>
      </c>
      <c r="G111" s="109" t="s">
        <v>228</v>
      </c>
      <c r="H111"/>
      <c r="I111"/>
      <c r="J111"/>
      <c r="K111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spans="1:25" ht="15.75" hidden="1" customHeight="1" x14ac:dyDescent="0.25">
      <c r="A112" s="25"/>
      <c r="B112" s="25"/>
      <c r="C112" s="51">
        <f>$F112*(C$38-$C$92)</f>
        <v>0</v>
      </c>
      <c r="D112" s="25"/>
      <c r="E112" s="25"/>
      <c r="F112" s="23"/>
      <c r="G112" s="30">
        <v>2.5000000000000001E-2</v>
      </c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</row>
    <row r="113" spans="1:25" ht="15.75" customHeight="1" x14ac:dyDescent="0.25">
      <c r="A113" s="146" t="s">
        <v>23</v>
      </c>
      <c r="B113" s="146"/>
      <c r="C113" s="145">
        <f>SUM(C106:D112)</f>
        <v>699.62740016125747</v>
      </c>
      <c r="D113" s="145"/>
      <c r="E113" s="26">
        <f>SUM(E106:E112)</f>
        <v>8395.5288019350901</v>
      </c>
      <c r="F113" s="37">
        <f>SUM(F96:F112)</f>
        <v>1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spans="1:25" ht="15.75" customHeight="1" x14ac:dyDescent="0.25">
      <c r="A114" s="4"/>
      <c r="B114" s="5"/>
      <c r="C114" s="5"/>
      <c r="D114" s="4"/>
      <c r="E114" s="5"/>
      <c r="F114" s="6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spans="1:25" ht="15.75" customHeight="1" x14ac:dyDescent="0.25">
      <c r="A115" s="4"/>
      <c r="B115" s="5"/>
      <c r="C115" s="5"/>
      <c r="D115" s="5"/>
      <c r="E115" s="6"/>
      <c r="F115" s="16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spans="1:25" ht="15.75" customHeight="1" x14ac:dyDescent="0.25">
      <c r="A116" s="143" t="s">
        <v>216</v>
      </c>
      <c r="B116" s="143"/>
      <c r="C116" s="16"/>
      <c r="D116" s="143" t="s">
        <v>234</v>
      </c>
      <c r="E116" s="143"/>
      <c r="F116" s="143"/>
      <c r="G116" s="143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spans="1:25" ht="15.75" customHeight="1" x14ac:dyDescent="0.25">
      <c r="A117" s="159" t="s">
        <v>221</v>
      </c>
      <c r="B117" s="159" t="s">
        <v>222</v>
      </c>
      <c r="C117" s="4"/>
      <c r="D117" s="159" t="s">
        <v>224</v>
      </c>
      <c r="E117" s="159" t="s">
        <v>210</v>
      </c>
      <c r="F117" s="159" t="s">
        <v>230</v>
      </c>
      <c r="G117" s="159" t="s">
        <v>23</v>
      </c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spans="1:25" ht="15.75" customHeight="1" x14ac:dyDescent="0.25">
      <c r="A118" s="16" t="s">
        <v>217</v>
      </c>
      <c r="B118" s="6" t="s">
        <v>214</v>
      </c>
      <c r="C118" s="24"/>
      <c r="D118" s="164" t="s">
        <v>217</v>
      </c>
      <c r="E118" s="165">
        <f>SUMIF($H$47:$H$91,D118,$C$47:$C$91)+SUMIF($I$47:$I$91,D118,$D$47:$D$91)</f>
        <v>3272</v>
      </c>
      <c r="F118" s="165">
        <f>SUM($C$96:$C$101,$C$106:$C$112)</f>
        <v>1135.2444606390216</v>
      </c>
      <c r="G118" s="166">
        <f>SUM(E118:F118)</f>
        <v>4407.2444606390218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spans="1:25" ht="15.75" customHeight="1" x14ac:dyDescent="0.25">
      <c r="A119" s="16" t="s">
        <v>219</v>
      </c>
      <c r="B119" s="6" t="s">
        <v>223</v>
      </c>
      <c r="C119" s="24"/>
      <c r="D119" s="164" t="s">
        <v>218</v>
      </c>
      <c r="E119" s="165">
        <f>SUMIF($H$47:$H$91,D119,$C$47:$C$91)+SUMIF($I$47:$I$91,D119,$D$47:$D$91)</f>
        <v>2846.583333333333</v>
      </c>
      <c r="F119" s="165">
        <f>SUM($D$96:$D$101,$D$106:$D$112)</f>
        <v>1504.8589361959121</v>
      </c>
      <c r="G119" s="166">
        <f>SUM(E119:F119)</f>
        <v>4351.4422695292451</v>
      </c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spans="1:25" ht="15.75" customHeight="1" x14ac:dyDescent="0.25">
      <c r="A120" s="16" t="s">
        <v>218</v>
      </c>
      <c r="B120" s="6"/>
      <c r="C120" s="24"/>
      <c r="D120" s="24"/>
      <c r="E120" s="24"/>
      <c r="F120" s="5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spans="1:25" ht="15.75" customHeight="1" x14ac:dyDescent="0.25">
      <c r="A121" s="16" t="s">
        <v>220</v>
      </c>
      <c r="B121" s="6"/>
      <c r="C121" s="24"/>
      <c r="D121" s="159" t="s">
        <v>225</v>
      </c>
      <c r="E121" s="159" t="s">
        <v>210</v>
      </c>
      <c r="F121" s="5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spans="1:25" ht="15.75" customHeight="1" x14ac:dyDescent="0.25">
      <c r="A122" s="16" t="s">
        <v>212</v>
      </c>
      <c r="B122" s="6"/>
      <c r="C122" s="24"/>
      <c r="D122" s="164" t="s">
        <v>227</v>
      </c>
      <c r="E122" s="165" cm="1">
        <f t="array" ref="E122">SUMPRODUCT(($J$47:$J$91=D122)*($C$47:$D$91))</f>
        <v>2637.583333333333</v>
      </c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spans="1:25" ht="15.75" customHeight="1" x14ac:dyDescent="0.25">
      <c r="A123" s="4"/>
      <c r="B123" s="4"/>
      <c r="C123" s="6"/>
      <c r="D123" s="164" t="s">
        <v>226</v>
      </c>
      <c r="E123" s="165" cm="1">
        <f t="array" ref="E123">SUMPRODUCT(($J$47:$J$91=D123)*($C$47:$D$91))</f>
        <v>3481</v>
      </c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spans="1:25" ht="15.75" customHeight="1" x14ac:dyDescent="0.25">
      <c r="A124" s="16"/>
      <c r="B124" s="6"/>
      <c r="C124" s="6"/>
      <c r="D124" s="6"/>
      <c r="E124" s="6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spans="1:25" ht="15.75" customHeight="1" x14ac:dyDescent="0.25">
      <c r="A125" s="16"/>
      <c r="B125" s="6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spans="1:25" ht="15.75" customHeight="1" x14ac:dyDescent="0.25">
      <c r="A126" s="16"/>
      <c r="B126" s="6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spans="1:25" ht="15.75" customHeight="1" x14ac:dyDescent="0.25">
      <c r="A127" s="16"/>
      <c r="B127" s="6"/>
      <c r="C127" s="4"/>
      <c r="D127" s="4"/>
      <c r="E127" s="4"/>
      <c r="F127" s="6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spans="1:25" ht="15.75" customHeight="1" x14ac:dyDescent="0.25">
      <c r="A128" s="4"/>
      <c r="B128" s="5"/>
      <c r="C128" s="5"/>
      <c r="D128" s="5"/>
      <c r="E128" s="6"/>
      <c r="F128" s="6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spans="1:25" ht="15.75" customHeight="1" x14ac:dyDescent="0.25">
      <c r="A129" s="4"/>
      <c r="B129" s="5"/>
      <c r="C129" s="5"/>
      <c r="D129" s="5"/>
      <c r="E129" s="6"/>
      <c r="F129" s="6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spans="1:25" ht="15.75" customHeight="1" x14ac:dyDescent="0.25">
      <c r="A130" s="4"/>
      <c r="B130" s="5"/>
      <c r="C130" s="5"/>
      <c r="D130" s="5"/>
      <c r="E130" s="6"/>
      <c r="F130" s="6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spans="1:25" ht="15.75" customHeight="1" x14ac:dyDescent="0.25">
      <c r="A131" s="4"/>
      <c r="B131" s="5"/>
      <c r="C131" s="5"/>
      <c r="D131" s="5"/>
      <c r="E131" s="6"/>
      <c r="F131" s="6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spans="1:25" ht="15.75" customHeight="1" x14ac:dyDescent="0.25">
      <c r="A132" s="4"/>
      <c r="B132" s="5"/>
      <c r="C132" s="5"/>
      <c r="D132" s="5"/>
      <c r="E132" s="6"/>
      <c r="F132" s="6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spans="1:25" ht="15.75" customHeight="1" x14ac:dyDescent="0.25">
      <c r="A133" s="4"/>
      <c r="B133" s="5"/>
      <c r="C133" s="5"/>
      <c r="D133" s="5"/>
      <c r="E133" s="6"/>
      <c r="F133" s="6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spans="1:25" ht="15.75" customHeight="1" x14ac:dyDescent="0.25">
      <c r="A134" s="4"/>
      <c r="B134" s="5"/>
      <c r="C134" s="5"/>
      <c r="D134" s="5"/>
      <c r="E134" s="6"/>
      <c r="F134" s="6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spans="1:25" ht="15.75" customHeight="1" x14ac:dyDescent="0.25">
      <c r="A135" s="4"/>
      <c r="B135" s="5"/>
      <c r="C135" s="5"/>
      <c r="D135" s="5"/>
      <c r="E135" s="6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spans="1:25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spans="1:25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spans="1:25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spans="1:25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spans="1:25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spans="1:25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spans="1:25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spans="1:25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spans="1:25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spans="1:25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spans="1:25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spans="1:25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spans="1:25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spans="1:25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spans="1:25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spans="1:25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spans="1:25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spans="1:25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spans="1:25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spans="1:25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spans="1:25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spans="1:25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spans="1:25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spans="1:25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spans="1:25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spans="1:25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spans="1:25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spans="1:25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spans="1:25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spans="1:25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spans="1:25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spans="1:25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spans="1:25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spans="1:25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spans="1:25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spans="1:25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spans="1:25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spans="1:25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spans="1:25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spans="1:25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spans="1:25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spans="1:25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spans="1:25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spans="1:25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spans="1:25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spans="1:25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spans="1:25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spans="1:25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spans="1:25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spans="1:25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spans="1:25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spans="1:25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spans="1:25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spans="1:25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spans="1:25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spans="1:25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spans="1:25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spans="1:25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spans="1:25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spans="1:25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spans="1:25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spans="1:25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spans="1:25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spans="1:25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spans="1:25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spans="1:25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spans="1:25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spans="1:25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1:25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1:25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1:25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1:25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1:25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1:25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1:25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1:25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1:25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1:25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1:25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1:25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1:25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1:25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1:25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1:25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1:25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1:25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1:25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1:25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1:25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1:25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1:25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1:25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1:25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1:25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1:25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1:25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1:25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1:25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spans="1:25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spans="1:25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spans="1:25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spans="1:25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spans="1:25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spans="1:25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spans="1:25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spans="1:25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spans="1:25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spans="1:25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spans="1:25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spans="1:25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spans="1:25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spans="1:25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spans="1:25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spans="1:25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spans="1:25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spans="1:25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spans="1:25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spans="1:25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spans="1:25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spans="1:25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spans="1:25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spans="1:25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spans="1:25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spans="1:25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spans="1:25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spans="1:25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spans="1:25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spans="1:25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spans="1:25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spans="1:25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spans="1:25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spans="1:25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spans="1:25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spans="1:25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spans="1:25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spans="1:25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spans="1:25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spans="1:25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spans="1:25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spans="1:25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spans="1:25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spans="1:25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spans="1:25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spans="1:25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spans="1:25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spans="1:25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spans="1:25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spans="1:25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spans="1:25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spans="1:25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spans="1:25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spans="1:25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spans="1:25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spans="1:25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spans="1:25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spans="1:25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spans="1:25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spans="1:25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spans="1:25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spans="1:25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spans="1:25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spans="1:25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spans="1:25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spans="1:25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spans="1:25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spans="1:25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spans="1:25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spans="1:25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spans="1:25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spans="1:25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spans="1:25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spans="1:25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spans="1:25" ht="15" customHeight="1" x14ac:dyDescent="0.25">
      <c r="A313" s="4"/>
      <c r="B313" s="4"/>
      <c r="C313" s="4"/>
      <c r="D313" s="4"/>
      <c r="E313" s="4"/>
    </row>
  </sheetData>
  <mergeCells count="105">
    <mergeCell ref="D116:G116"/>
    <mergeCell ref="H90:I90"/>
    <mergeCell ref="H86:I86"/>
    <mergeCell ref="H87:I87"/>
    <mergeCell ref="H88:I88"/>
    <mergeCell ref="H89:I89"/>
    <mergeCell ref="H80:I80"/>
    <mergeCell ref="H81:I81"/>
    <mergeCell ref="H82:I82"/>
    <mergeCell ref="H83:I83"/>
    <mergeCell ref="H84:I84"/>
    <mergeCell ref="H76:I76"/>
    <mergeCell ref="H77:I77"/>
    <mergeCell ref="H78:I78"/>
    <mergeCell ref="H79:I79"/>
    <mergeCell ref="H70:I70"/>
    <mergeCell ref="H71:I71"/>
    <mergeCell ref="H72:I72"/>
    <mergeCell ref="H65:I65"/>
    <mergeCell ref="H66:I66"/>
    <mergeCell ref="H67:I67"/>
    <mergeCell ref="H68:I68"/>
    <mergeCell ref="H69:I69"/>
    <mergeCell ref="H61:I61"/>
    <mergeCell ref="H63:I63"/>
    <mergeCell ref="H64:I64"/>
    <mergeCell ref="A110:B110"/>
    <mergeCell ref="A116:B116"/>
    <mergeCell ref="H46:I46"/>
    <mergeCell ref="H48:I48"/>
    <mergeCell ref="H49:I49"/>
    <mergeCell ref="H50:I50"/>
    <mergeCell ref="H51:I51"/>
    <mergeCell ref="H52:I52"/>
    <mergeCell ref="H53:I53"/>
    <mergeCell ref="H54:I54"/>
    <mergeCell ref="H55:I55"/>
    <mergeCell ref="H56:I56"/>
    <mergeCell ref="H57:I57"/>
    <mergeCell ref="C76:D76"/>
    <mergeCell ref="C77:D77"/>
    <mergeCell ref="C80:D80"/>
    <mergeCell ref="C82:D82"/>
    <mergeCell ref="C90:D90"/>
    <mergeCell ref="C40:D40"/>
    <mergeCell ref="C41:D41"/>
    <mergeCell ref="C42:D42"/>
    <mergeCell ref="C43:D43"/>
    <mergeCell ref="C55:D55"/>
    <mergeCell ref="C48:D48"/>
    <mergeCell ref="C49:D49"/>
    <mergeCell ref="C50:D50"/>
    <mergeCell ref="C51:D51"/>
    <mergeCell ref="C54:D54"/>
    <mergeCell ref="C53:D53"/>
    <mergeCell ref="C52:D52"/>
    <mergeCell ref="A45:E45"/>
    <mergeCell ref="A46:B46"/>
    <mergeCell ref="A48:A57"/>
    <mergeCell ref="C57:D57"/>
    <mergeCell ref="C56:D56"/>
    <mergeCell ref="C61:D61"/>
    <mergeCell ref="C63:D63"/>
    <mergeCell ref="A113:B113"/>
    <mergeCell ref="A111:B111"/>
    <mergeCell ref="A109:B109"/>
    <mergeCell ref="A99:B99"/>
    <mergeCell ref="A102:B102"/>
    <mergeCell ref="A108:B108"/>
    <mergeCell ref="A105:B105"/>
    <mergeCell ref="A104:E104"/>
    <mergeCell ref="A100:B100"/>
    <mergeCell ref="C113:D113"/>
    <mergeCell ref="C102:D102"/>
    <mergeCell ref="A107:B107"/>
    <mergeCell ref="A58:A63"/>
    <mergeCell ref="A73:A75"/>
    <mergeCell ref="A95:B95"/>
    <mergeCell ref="A76:A78"/>
    <mergeCell ref="A79:A84"/>
    <mergeCell ref="A85:A90"/>
    <mergeCell ref="A64:A72"/>
    <mergeCell ref="A98:B98"/>
    <mergeCell ref="A92:B92"/>
    <mergeCell ref="C70:D70"/>
    <mergeCell ref="C71:D71"/>
    <mergeCell ref="C79:D79"/>
    <mergeCell ref="C84:D84"/>
    <mergeCell ref="C81:D81"/>
    <mergeCell ref="C72:D72"/>
    <mergeCell ref="C78:D78"/>
    <mergeCell ref="C83:D83"/>
    <mergeCell ref="C64:D64"/>
    <mergeCell ref="A94:E94"/>
    <mergeCell ref="A97:B97"/>
    <mergeCell ref="C86:D86"/>
    <mergeCell ref="C92:D92"/>
    <mergeCell ref="C87:D87"/>
    <mergeCell ref="C88:D88"/>
    <mergeCell ref="C65:D65"/>
    <mergeCell ref="C66:D66"/>
    <mergeCell ref="C67:D67"/>
    <mergeCell ref="C68:D68"/>
    <mergeCell ref="C89:D89"/>
    <mergeCell ref="C69:D69"/>
  </mergeCells>
  <conditionalFormatting sqref="F97:F10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{BF725A77-2E4F-432F-898D-E78F94CC9C45}</x14:id>
        </ext>
      </extLst>
    </cfRule>
  </conditionalFormatting>
  <conditionalFormatting sqref="F97:F100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{EA41D5B7-02AF-43CF-92E3-D72755530441}</x14:id>
        </ext>
      </extLst>
    </cfRule>
  </conditionalFormatting>
  <conditionalFormatting sqref="F48:F91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{740FD60D-1D74-4128-9B10-C52F89BCD2CD}</x14:id>
        </ext>
      </extLst>
    </cfRule>
  </conditionalFormatting>
  <conditionalFormatting sqref="F107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{909C41BF-AE81-4E20-B5E4-ED548BDED679}</x14:id>
        </ext>
      </extLst>
    </cfRule>
  </conditionalFormatting>
  <conditionalFormatting sqref="F10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{17CF739F-97D7-4018-B55C-0DEC0EA01F46}</x14:id>
        </ext>
      </extLst>
    </cfRule>
  </conditionalFormatting>
  <conditionalFormatting sqref="F109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{DE399F0D-FF60-4564-8D07-68FCDF918839}</x14:id>
        </ext>
      </extLst>
    </cfRule>
  </conditionalFormatting>
  <conditionalFormatting sqref="F11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{455B9BA1-D6F6-46EF-9B83-F83C1D963F7B}</x14:id>
        </ext>
      </extLst>
    </cfRule>
  </conditionalFormatting>
  <conditionalFormatting sqref="F11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{B2F2EDB4-AC75-4356-886E-7DA90D0BCE48}</x14:id>
        </ext>
      </extLst>
    </cfRule>
  </conditionalFormatting>
  <conditionalFormatting sqref="F107:F11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{54CE844C-2C9B-4ED4-BB89-23E08C89BD76}</x14:id>
        </ext>
      </extLst>
    </cfRule>
  </conditionalFormatting>
  <conditionalFormatting sqref="G118">
    <cfRule type="cellIs" dxfId="3" priority="5" operator="greaterThan">
      <formula>$C$38</formula>
    </cfRule>
  </conditionalFormatting>
  <conditionalFormatting sqref="G119">
    <cfRule type="cellIs" dxfId="2" priority="4" operator="greaterThan">
      <formula>$D$38</formula>
    </cfRule>
  </conditionalFormatting>
  <conditionalFormatting sqref="H48:I90">
    <cfRule type="containsText" dxfId="0" priority="3" operator="containsText" text="PNC Spend">
      <formula>NOT(ISERROR(SEARCH("PNC Spend",H48)))</formula>
    </cfRule>
    <cfRule type="containsText" dxfId="1" priority="2" operator="containsText" text="BoA Spend">
      <formula>NOT(ISERROR(SEARCH("BoA Spend",H48)))</formula>
    </cfRule>
  </conditionalFormatting>
  <conditionalFormatting sqref="F97:F11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{0A3FB004-7830-44FF-A558-62034FBB517B}</x14:id>
        </ext>
      </extLst>
    </cfRule>
  </conditionalFormatting>
  <dataValidations count="4">
    <dataValidation type="list" allowBlank="1" showInputMessage="1" showErrorMessage="1" sqref="C10:D10" xr:uid="{908D8E6E-65CD-4CF9-BF49-A0E9BE5786DC}">
      <formula1>"NJ"</formula1>
    </dataValidation>
    <dataValidation type="list" allowBlank="1" showInputMessage="1" showErrorMessage="1" sqref="C11:D11" xr:uid="{87E8FFDD-15CB-4B87-AAB5-96C6628F3FF1}">
      <formula1>"Joint, Single"</formula1>
    </dataValidation>
    <dataValidation type="list" allowBlank="1" showInputMessage="1" showErrorMessage="1" sqref="H62:I62 I73:I75 I58:I60 I85 H48:H61 H63:H90" xr:uid="{1728531C-C155-4B97-BCD7-D59459AD0ED2}">
      <formula1>Savings</formula1>
    </dataValidation>
    <dataValidation type="list" allowBlank="1" showInputMessage="1" showErrorMessage="1" sqref="J48:J90" xr:uid="{BD72596F-2A03-48B0-898F-07D159E924D6}">
      <formula1>"Debit,Credit"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Button 39">
              <controlPr defaultSize="0" print="0" autoFill="0" autoPict="0" macro="[0]!calcTaxe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725A77-2E4F-432F-898D-E78F94CC9C4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F97:F100</xm:sqref>
        </x14:conditionalFormatting>
        <x14:conditionalFormatting xmlns:xm="http://schemas.microsoft.com/office/excel/2006/main">
          <x14:cfRule type="dataBar" id="{EA41D5B7-02AF-43CF-92E3-D7275553044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F97:F100</xm:sqref>
        </x14:conditionalFormatting>
        <x14:conditionalFormatting xmlns:xm="http://schemas.microsoft.com/office/excel/2006/main">
          <x14:cfRule type="dataBar" id="{740FD60D-1D74-4128-9B10-C52F89BCD2C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F48:F91</xm:sqref>
        </x14:conditionalFormatting>
        <x14:conditionalFormatting xmlns:xm="http://schemas.microsoft.com/office/excel/2006/main">
          <x14:cfRule type="dataBar" id="{909C41BF-AE81-4E20-B5E4-ED548BDED67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F107</xm:sqref>
        </x14:conditionalFormatting>
        <x14:conditionalFormatting xmlns:xm="http://schemas.microsoft.com/office/excel/2006/main">
          <x14:cfRule type="dataBar" id="{17CF739F-97D7-4018-B55C-0DEC0EA01F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F108</xm:sqref>
        </x14:conditionalFormatting>
        <x14:conditionalFormatting xmlns:xm="http://schemas.microsoft.com/office/excel/2006/main">
          <x14:cfRule type="dataBar" id="{DE399F0D-FF60-4564-8D07-68FCDF9188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F109</xm:sqref>
        </x14:conditionalFormatting>
        <x14:conditionalFormatting xmlns:xm="http://schemas.microsoft.com/office/excel/2006/main">
          <x14:cfRule type="dataBar" id="{455B9BA1-D6F6-46EF-9B83-F83C1D963F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F110</xm:sqref>
        </x14:conditionalFormatting>
        <x14:conditionalFormatting xmlns:xm="http://schemas.microsoft.com/office/excel/2006/main">
          <x14:cfRule type="dataBar" id="{B2F2EDB4-AC75-4356-886E-7DA90D0BCE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F111</xm:sqref>
        </x14:conditionalFormatting>
        <x14:conditionalFormatting xmlns:xm="http://schemas.microsoft.com/office/excel/2006/main">
          <x14:cfRule type="dataBar" id="{54CE844C-2C9B-4ED4-BB89-23E08C89BD7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F107:F111</xm:sqref>
        </x14:conditionalFormatting>
        <x14:conditionalFormatting xmlns:xm="http://schemas.microsoft.com/office/excel/2006/main">
          <x14:cfRule type="dataBar" id="{0A3FB004-7830-44FF-A558-62034FBB51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F97:F111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7582-3BFF-46CD-A87B-A4A79724E32E}">
  <sheetPr codeName="Sheet6"/>
  <dimension ref="A1:P110"/>
  <sheetViews>
    <sheetView topLeftCell="A85" workbookViewId="0">
      <selection activeCell="A96" sqref="A96"/>
    </sheetView>
  </sheetViews>
  <sheetFormatPr defaultColWidth="9.109375" defaultRowHeight="13.2" x14ac:dyDescent="0.25"/>
  <cols>
    <col min="1" max="1" width="20.109375" style="67" customWidth="1"/>
    <col min="2" max="2" width="24.33203125" style="87" bestFit="1" customWidth="1"/>
    <col min="3" max="3" width="15.5546875" style="89" customWidth="1"/>
    <col min="4" max="14" width="15.5546875" style="98" customWidth="1"/>
    <col min="15" max="16384" width="9.109375" style="98"/>
  </cols>
  <sheetData>
    <row r="1" spans="1:16" s="61" customFormat="1" x14ac:dyDescent="0.25">
      <c r="A1" s="67"/>
      <c r="B1" s="86"/>
    </row>
    <row r="2" spans="1:16" s="61" customFormat="1" x14ac:dyDescent="0.25">
      <c r="A2" s="67" t="s">
        <v>92</v>
      </c>
      <c r="B2" s="85" t="s">
        <v>90</v>
      </c>
      <c r="C2" s="92">
        <v>36</v>
      </c>
    </row>
    <row r="3" spans="1:16" s="61" customFormat="1" x14ac:dyDescent="0.25">
      <c r="A3" s="67"/>
      <c r="B3" s="85" t="s">
        <v>91</v>
      </c>
      <c r="C3" s="95">
        <v>4</v>
      </c>
      <c r="D3" s="95">
        <v>6</v>
      </c>
      <c r="E3"/>
    </row>
    <row r="4" spans="1:16" s="61" customFormat="1" x14ac:dyDescent="0.25">
      <c r="A4" s="67"/>
      <c r="B4" s="85" t="s">
        <v>99</v>
      </c>
      <c r="C4" s="94">
        <v>1.4999999999999999E-2</v>
      </c>
      <c r="D4" s="94">
        <v>2.8000000000000001E-2</v>
      </c>
      <c r="E4" s="94">
        <v>0.05</v>
      </c>
      <c r="F4" s="120" t="s">
        <v>193</v>
      </c>
    </row>
    <row r="5" spans="1:16" s="61" customFormat="1" x14ac:dyDescent="0.25">
      <c r="A5" s="67"/>
      <c r="B5" s="85"/>
    </row>
    <row r="6" spans="1:16" s="61" customFormat="1" x14ac:dyDescent="0.25">
      <c r="A6" s="67"/>
      <c r="B6" s="85" t="s">
        <v>164</v>
      </c>
      <c r="C6" s="95">
        <v>-2</v>
      </c>
      <c r="D6" s="95">
        <v>-2</v>
      </c>
      <c r="E6" s="95">
        <f>C9+1</f>
        <v>6</v>
      </c>
      <c r="F6" s="95">
        <f>D9+1</f>
        <v>7</v>
      </c>
      <c r="G6" s="95">
        <f>E9+1</f>
        <v>14</v>
      </c>
      <c r="H6" s="95">
        <f>F9+1</f>
        <v>16</v>
      </c>
      <c r="I6" s="95">
        <v>21</v>
      </c>
      <c r="J6" s="95">
        <f>G9+1</f>
        <v>22</v>
      </c>
      <c r="K6" s="95">
        <v>23</v>
      </c>
      <c r="L6" s="95">
        <f>H9+1</f>
        <v>25</v>
      </c>
      <c r="M6" s="95">
        <f>J9+1</f>
        <v>31</v>
      </c>
      <c r="N6" s="95">
        <f>L9+1</f>
        <v>34</v>
      </c>
      <c r="O6"/>
      <c r="P6"/>
    </row>
    <row r="7" spans="1:16" s="89" customFormat="1" x14ac:dyDescent="0.25">
      <c r="A7" s="88"/>
      <c r="B7" s="104" t="s">
        <v>135</v>
      </c>
      <c r="C7" s="96">
        <v>19500</v>
      </c>
      <c r="D7" s="96">
        <v>23500</v>
      </c>
      <c r="E7" s="96">
        <v>25000</v>
      </c>
      <c r="F7" s="96">
        <v>30000</v>
      </c>
      <c r="G7" s="96">
        <v>30000</v>
      </c>
      <c r="H7" s="96">
        <v>35000</v>
      </c>
      <c r="I7" s="96">
        <v>22500</v>
      </c>
      <c r="J7" s="96">
        <v>40000</v>
      </c>
      <c r="K7" s="96">
        <v>22500</v>
      </c>
      <c r="L7" s="96">
        <v>40000</v>
      </c>
      <c r="M7" s="96">
        <v>45000</v>
      </c>
      <c r="N7" s="96">
        <v>45000</v>
      </c>
      <c r="O7"/>
      <c r="P7"/>
    </row>
    <row r="8" spans="1:16" s="89" customFormat="1" x14ac:dyDescent="0.25">
      <c r="A8" s="88"/>
      <c r="B8" s="85" t="s">
        <v>136</v>
      </c>
      <c r="C8" s="96">
        <v>2000</v>
      </c>
      <c r="D8" s="96">
        <v>5000</v>
      </c>
      <c r="E8" s="96">
        <f t="shared" ref="E8:N8" si="0">E7*0.25</f>
        <v>6250</v>
      </c>
      <c r="F8" s="96">
        <f t="shared" si="0"/>
        <v>7500</v>
      </c>
      <c r="G8" s="96">
        <f t="shared" si="0"/>
        <v>7500</v>
      </c>
      <c r="H8" s="96">
        <f t="shared" si="0"/>
        <v>8750</v>
      </c>
      <c r="I8" s="96">
        <f t="shared" si="0"/>
        <v>5625</v>
      </c>
      <c r="J8" s="96">
        <f t="shared" si="0"/>
        <v>10000</v>
      </c>
      <c r="K8" s="96">
        <f t="shared" si="0"/>
        <v>5625</v>
      </c>
      <c r="L8" s="96">
        <f t="shared" si="0"/>
        <v>10000</v>
      </c>
      <c r="M8" s="96">
        <f t="shared" si="0"/>
        <v>11250</v>
      </c>
      <c r="N8" s="96">
        <f t="shared" si="0"/>
        <v>11250</v>
      </c>
      <c r="O8"/>
      <c r="P8"/>
    </row>
    <row r="9" spans="1:16" s="89" customFormat="1" x14ac:dyDescent="0.25">
      <c r="A9" s="88"/>
      <c r="B9" s="85" t="s">
        <v>137</v>
      </c>
      <c r="C9" s="116">
        <f>C6+7</f>
        <v>5</v>
      </c>
      <c r="D9" s="116">
        <f>D6+8</f>
        <v>6</v>
      </c>
      <c r="E9" s="116">
        <f>E6+7</f>
        <v>13</v>
      </c>
      <c r="F9" s="116">
        <f>F6+8</f>
        <v>15</v>
      </c>
      <c r="G9" s="116">
        <f>G6+7</f>
        <v>21</v>
      </c>
      <c r="H9" s="116">
        <f>H6+8</f>
        <v>24</v>
      </c>
      <c r="I9" s="116">
        <f>I6+6</f>
        <v>27</v>
      </c>
      <c r="J9" s="116">
        <f>J6+8</f>
        <v>30</v>
      </c>
      <c r="K9" s="116">
        <f>K6+6</f>
        <v>29</v>
      </c>
      <c r="L9" s="116">
        <f>L6+8</f>
        <v>33</v>
      </c>
      <c r="M9" s="116">
        <f>M6+8</f>
        <v>39</v>
      </c>
      <c r="N9" s="116">
        <f>N6+8</f>
        <v>42</v>
      </c>
      <c r="O9"/>
      <c r="P9"/>
    </row>
    <row r="10" spans="1:16" s="89" customFormat="1" x14ac:dyDescent="0.25">
      <c r="A10" s="88"/>
      <c r="B10" s="85" t="s">
        <v>119</v>
      </c>
      <c r="C10" s="93">
        <v>0.15</v>
      </c>
      <c r="D10" s="120" t="s">
        <v>132</v>
      </c>
      <c r="E10"/>
      <c r="F10"/>
      <c r="G10"/>
      <c r="H10"/>
      <c r="I10"/>
      <c r="J10"/>
      <c r="K10"/>
      <c r="L10"/>
      <c r="M10"/>
      <c r="N10"/>
    </row>
    <row r="11" spans="1:16" s="89" customFormat="1" x14ac:dyDescent="0.25">
      <c r="A11" s="88"/>
      <c r="B11" s="85" t="s">
        <v>138</v>
      </c>
      <c r="C11" s="108">
        <v>60</v>
      </c>
      <c r="D11" s="120" t="s">
        <v>129</v>
      </c>
      <c r="E11"/>
      <c r="F11"/>
      <c r="G11"/>
      <c r="H11"/>
      <c r="I11"/>
      <c r="J11"/>
      <c r="K11"/>
      <c r="L11"/>
      <c r="M11"/>
      <c r="N11"/>
    </row>
    <row r="12" spans="1:16" s="89" customFormat="1" x14ac:dyDescent="0.25">
      <c r="A12" s="88"/>
      <c r="B12" s="85" t="s">
        <v>139</v>
      </c>
      <c r="C12" s="94">
        <v>1.9E-2</v>
      </c>
      <c r="D12" s="120" t="s">
        <v>134</v>
      </c>
      <c r="E12"/>
      <c r="F12"/>
      <c r="G12"/>
      <c r="H12"/>
      <c r="I12"/>
      <c r="J12"/>
      <c r="K12"/>
      <c r="L12"/>
      <c r="M12"/>
      <c r="N12"/>
    </row>
    <row r="13" spans="1:16" s="112" customFormat="1" x14ac:dyDescent="0.25">
      <c r="A13" s="67"/>
      <c r="B13" s="85" t="s">
        <v>34</v>
      </c>
      <c r="C13" s="94">
        <v>0.15</v>
      </c>
      <c r="D13" s="120" t="s">
        <v>132</v>
      </c>
    </row>
    <row r="14" spans="1:16" s="112" customFormat="1" x14ac:dyDescent="0.25">
      <c r="A14" s="67"/>
      <c r="B14" s="85" t="s">
        <v>140</v>
      </c>
      <c r="C14" s="94">
        <v>2.5000000000000001E-2</v>
      </c>
      <c r="D14" s="120" t="s">
        <v>132</v>
      </c>
    </row>
    <row r="15" spans="1:16" s="112" customFormat="1" x14ac:dyDescent="0.25">
      <c r="A15" s="67"/>
      <c r="B15" s="85" t="s">
        <v>125</v>
      </c>
      <c r="C15" s="118">
        <f>'Monthly Budget'!E62/12</f>
        <v>100</v>
      </c>
      <c r="D15" s="120" t="s">
        <v>131</v>
      </c>
    </row>
    <row r="16" spans="1:16" s="112" customFormat="1" x14ac:dyDescent="0.25">
      <c r="A16" s="67"/>
      <c r="B16" s="85" t="s">
        <v>13</v>
      </c>
      <c r="C16" s="119">
        <f>'Monthly Budget'!E61/12</f>
        <v>70</v>
      </c>
      <c r="D16" s="120" t="s">
        <v>131</v>
      </c>
    </row>
    <row r="17" spans="1:14" s="61" customFormat="1" x14ac:dyDescent="0.25">
      <c r="A17" s="67"/>
      <c r="B17" s="85"/>
      <c r="D17"/>
      <c r="E17"/>
      <c r="F17"/>
      <c r="G17"/>
      <c r="H17"/>
      <c r="I17"/>
      <c r="J17"/>
      <c r="K17"/>
      <c r="L17"/>
      <c r="M17"/>
      <c r="N17"/>
    </row>
    <row r="18" spans="1:14" s="61" customFormat="1" x14ac:dyDescent="0.25">
      <c r="A18" s="67" t="s">
        <v>94</v>
      </c>
      <c r="B18" s="85" t="s">
        <v>95</v>
      </c>
      <c r="C18" s="118">
        <f>'Monthly Budget'!E48/12</f>
        <v>2100</v>
      </c>
      <c r="D18" s="120" t="s">
        <v>131</v>
      </c>
    </row>
    <row r="19" spans="1:14" s="123" customFormat="1" x14ac:dyDescent="0.25">
      <c r="A19" s="67"/>
      <c r="B19" s="85" t="s">
        <v>189</v>
      </c>
      <c r="C19" s="118">
        <f>SUM('Monthly Budget'!E55:E56)/12</f>
        <v>125</v>
      </c>
      <c r="D19" s="120" t="s">
        <v>131</v>
      </c>
    </row>
    <row r="20" spans="1:14" s="61" customFormat="1" x14ac:dyDescent="0.25">
      <c r="A20" s="67"/>
      <c r="B20" s="85" t="s">
        <v>96</v>
      </c>
      <c r="C20" s="93">
        <v>0.05</v>
      </c>
      <c r="D20" s="120" t="s">
        <v>133</v>
      </c>
    </row>
    <row r="21" spans="1:14" s="61" customFormat="1" x14ac:dyDescent="0.25">
      <c r="A21" s="67"/>
      <c r="B21" s="85" t="s">
        <v>97</v>
      </c>
      <c r="C21" s="92">
        <f>C28-1</f>
        <v>3</v>
      </c>
      <c r="D21" s="120" t="s">
        <v>130</v>
      </c>
    </row>
    <row r="22" spans="1:14" s="112" customFormat="1" x14ac:dyDescent="0.25">
      <c r="A22" s="67"/>
      <c r="B22" s="85" t="s">
        <v>149</v>
      </c>
      <c r="C22" s="117">
        <f>'Monthly Budget'!E49/'Monthly Budget'!E48</f>
        <v>8.5714285714285719E-3</v>
      </c>
      <c r="D22" s="120" t="s">
        <v>148</v>
      </c>
    </row>
    <row r="23" spans="1:14" s="112" customFormat="1" x14ac:dyDescent="0.25">
      <c r="A23" s="67"/>
      <c r="B23" s="85" t="s">
        <v>150</v>
      </c>
      <c r="C23" s="117">
        <f>'Monthly Budget'!E57/'Monthly Budget'!E48</f>
        <v>2.3809523809523808E-2</v>
      </c>
      <c r="D23" s="120" t="s">
        <v>148</v>
      </c>
      <c r="E23" s="109"/>
    </row>
    <row r="24" spans="1:14" s="112" customFormat="1" x14ac:dyDescent="0.25">
      <c r="A24" s="67"/>
      <c r="B24" s="85" t="s">
        <v>151</v>
      </c>
      <c r="C24" s="117">
        <f>'Monthly Budget'!E50/'Monthly Budget'!E48</f>
        <v>6.1904761904761907E-2</v>
      </c>
      <c r="D24" s="120" t="s">
        <v>148</v>
      </c>
    </row>
    <row r="25" spans="1:14" s="112" customFormat="1" x14ac:dyDescent="0.25">
      <c r="A25" s="67"/>
      <c r="B25" s="85" t="s">
        <v>152</v>
      </c>
      <c r="C25" s="117">
        <f>'Monthly Budget'!E51/'Monthly Budget'!E48</f>
        <v>1.1904761904761904E-2</v>
      </c>
      <c r="D25" s="120" t="s">
        <v>148</v>
      </c>
    </row>
    <row r="26" spans="1:14" s="112" customFormat="1" x14ac:dyDescent="0.25">
      <c r="A26" s="67"/>
      <c r="B26" s="85" t="s">
        <v>153</v>
      </c>
      <c r="C26" s="117">
        <f>'Monthly Budget'!E52/'Monthly Budget'!E48</f>
        <v>1.4285714285714285E-2</v>
      </c>
      <c r="D26" s="120" t="s">
        <v>148</v>
      </c>
    </row>
    <row r="27" spans="1:14" s="61" customFormat="1" x14ac:dyDescent="0.25">
      <c r="A27" s="67"/>
      <c r="B27" s="85"/>
    </row>
    <row r="28" spans="1:14" s="61" customFormat="1" x14ac:dyDescent="0.25">
      <c r="A28" s="67" t="s">
        <v>93</v>
      </c>
      <c r="B28" s="85" t="s">
        <v>141</v>
      </c>
      <c r="C28" s="95">
        <v>4</v>
      </c>
      <c r="D28" s="95">
        <v>18</v>
      </c>
      <c r="E28" s="95">
        <v>33</v>
      </c>
      <c r="G28"/>
      <c r="H28"/>
      <c r="I28"/>
    </row>
    <row r="29" spans="1:14" s="89" customFormat="1" x14ac:dyDescent="0.25">
      <c r="A29" s="88"/>
      <c r="B29" s="104" t="s">
        <v>147</v>
      </c>
      <c r="C29" s="96">
        <v>450000</v>
      </c>
      <c r="D29" s="96">
        <v>750000</v>
      </c>
      <c r="E29" s="96">
        <v>3000000</v>
      </c>
      <c r="G29"/>
      <c r="H29"/>
      <c r="I29"/>
    </row>
    <row r="30" spans="1:14" s="61" customFormat="1" x14ac:dyDescent="0.25">
      <c r="A30" s="67"/>
      <c r="B30" s="85" t="s">
        <v>142</v>
      </c>
      <c r="C30" s="95">
        <v>30</v>
      </c>
      <c r="D30" s="95">
        <v>20</v>
      </c>
      <c r="E30" s="95">
        <v>15</v>
      </c>
      <c r="F30" s="109"/>
      <c r="G30"/>
      <c r="H30"/>
      <c r="I30"/>
    </row>
    <row r="31" spans="1:14" s="61" customFormat="1" x14ac:dyDescent="0.25">
      <c r="A31" s="67"/>
      <c r="B31" s="85" t="s">
        <v>143</v>
      </c>
      <c r="C31" s="110">
        <v>4.2500000000000003E-2</v>
      </c>
      <c r="D31" s="110">
        <v>0.04</v>
      </c>
      <c r="E31" s="110">
        <v>3.2500000000000001E-2</v>
      </c>
      <c r="G31"/>
      <c r="H31"/>
      <c r="I31"/>
    </row>
    <row r="32" spans="1:14" s="91" customFormat="1" x14ac:dyDescent="0.25">
      <c r="A32" s="90"/>
      <c r="B32" s="105" t="s">
        <v>144</v>
      </c>
      <c r="C32" s="97">
        <v>0.2</v>
      </c>
      <c r="D32" s="97">
        <v>0.2</v>
      </c>
      <c r="E32" s="97">
        <v>0.2</v>
      </c>
      <c r="G32"/>
      <c r="H32"/>
      <c r="I32"/>
    </row>
    <row r="33" spans="1:12" customFormat="1" x14ac:dyDescent="0.25">
      <c r="B33" s="85" t="s">
        <v>118</v>
      </c>
      <c r="C33" s="107">
        <v>2.75E-2</v>
      </c>
      <c r="D33" s="120" t="s">
        <v>132</v>
      </c>
    </row>
    <row r="34" spans="1:12" customFormat="1" x14ac:dyDescent="0.25">
      <c r="B34" s="85" t="s">
        <v>120</v>
      </c>
      <c r="C34" s="107">
        <v>1.4999999999999999E-2</v>
      </c>
      <c r="D34" s="120" t="s">
        <v>132</v>
      </c>
    </row>
    <row r="35" spans="1:12" s="112" customFormat="1" x14ac:dyDescent="0.25">
      <c r="A35" s="67"/>
      <c r="B35" s="85" t="s">
        <v>145</v>
      </c>
      <c r="C35" s="94">
        <v>5.0000000000000001E-3</v>
      </c>
      <c r="D35" s="120" t="s">
        <v>132</v>
      </c>
    </row>
    <row r="36" spans="1:12" s="112" customFormat="1" x14ac:dyDescent="0.25">
      <c r="A36" s="67"/>
      <c r="B36" s="85" t="s">
        <v>146</v>
      </c>
      <c r="C36" s="94">
        <v>0.02</v>
      </c>
      <c r="D36" s="120" t="s">
        <v>132</v>
      </c>
      <c r="E36" s="109"/>
    </row>
    <row r="37" spans="1:12" s="112" customFormat="1" x14ac:dyDescent="0.25">
      <c r="A37" s="67"/>
      <c r="B37" s="85" t="s">
        <v>154</v>
      </c>
      <c r="C37" s="107">
        <v>3.5000000000000001E-3</v>
      </c>
      <c r="D37" s="120" t="s">
        <v>132</v>
      </c>
    </row>
    <row r="38" spans="1:12" s="112" customFormat="1" x14ac:dyDescent="0.25">
      <c r="A38" s="67"/>
      <c r="B38" s="85" t="s">
        <v>155</v>
      </c>
      <c r="C38" s="107">
        <v>1E-3</v>
      </c>
      <c r="D38" s="120" t="s">
        <v>132</v>
      </c>
    </row>
    <row r="39" spans="1:12" s="112" customFormat="1" x14ac:dyDescent="0.25">
      <c r="A39" s="67"/>
      <c r="B39" s="85" t="s">
        <v>156</v>
      </c>
      <c r="C39" s="129">
        <v>7.5000000000000002E-4</v>
      </c>
      <c r="D39" s="120" t="s">
        <v>132</v>
      </c>
      <c r="L39" s="115"/>
    </row>
    <row r="40" spans="1:12" s="61" customFormat="1" x14ac:dyDescent="0.25">
      <c r="A40" s="67"/>
      <c r="B40" s="85"/>
      <c r="L40" s="115"/>
    </row>
    <row r="41" spans="1:12" s="115" customFormat="1" x14ac:dyDescent="0.25">
      <c r="A41" s="67" t="s">
        <v>162</v>
      </c>
      <c r="B41" s="85" t="s">
        <v>44</v>
      </c>
      <c r="C41" s="118">
        <f>'Monthly Budget'!E76/12</f>
        <v>600</v>
      </c>
      <c r="D41" s="121">
        <v>0.25</v>
      </c>
      <c r="E41" s="121">
        <v>0.3</v>
      </c>
      <c r="F41" s="120" t="s">
        <v>163</v>
      </c>
    </row>
    <row r="42" spans="1:12" s="115" customFormat="1" x14ac:dyDescent="0.25">
      <c r="A42" s="67"/>
      <c r="B42" s="85" t="s">
        <v>45</v>
      </c>
      <c r="C42" s="118">
        <f>'Monthly Budget'!E77/12</f>
        <v>200</v>
      </c>
      <c r="D42" s="121">
        <v>0.5</v>
      </c>
      <c r="E42" s="121">
        <v>0.2</v>
      </c>
      <c r="F42" s="120" t="s">
        <v>163</v>
      </c>
    </row>
    <row r="43" spans="1:12" s="115" customFormat="1" x14ac:dyDescent="0.25">
      <c r="A43" s="67"/>
      <c r="B43" s="85"/>
    </row>
    <row r="44" spans="1:12" s="123" customFormat="1" x14ac:dyDescent="0.25">
      <c r="A44" s="67" t="s">
        <v>172</v>
      </c>
      <c r="B44" s="85" t="s">
        <v>166</v>
      </c>
      <c r="C44" s="118">
        <f>'Monthly Budget'!E64/12</f>
        <v>55</v>
      </c>
      <c r="D44" s="121">
        <v>0.25</v>
      </c>
      <c r="E44" s="121">
        <v>0</v>
      </c>
      <c r="F44" s="120" t="s">
        <v>163</v>
      </c>
    </row>
    <row r="45" spans="1:12" s="123" customFormat="1" x14ac:dyDescent="0.25">
      <c r="A45" s="67"/>
      <c r="B45" s="85" t="s">
        <v>18</v>
      </c>
      <c r="C45" s="118">
        <v>80</v>
      </c>
      <c r="D45" s="121">
        <v>0.25</v>
      </c>
      <c r="E45" s="121">
        <v>0.3</v>
      </c>
      <c r="F45" s="120" t="s">
        <v>163</v>
      </c>
    </row>
    <row r="46" spans="1:12" s="115" customFormat="1" x14ac:dyDescent="0.25">
      <c r="A46" s="67"/>
      <c r="B46" s="85" t="s">
        <v>167</v>
      </c>
      <c r="C46" s="118">
        <f>SUM('Monthly Budget'!E66:E71)/12</f>
        <v>33.25</v>
      </c>
      <c r="D46" s="121">
        <v>0.25</v>
      </c>
      <c r="E46" s="121">
        <v>0</v>
      </c>
      <c r="F46" s="120" t="s">
        <v>163</v>
      </c>
    </row>
    <row r="47" spans="1:12" s="115" customFormat="1" x14ac:dyDescent="0.25">
      <c r="A47" s="67"/>
      <c r="B47" s="85" t="s">
        <v>48</v>
      </c>
      <c r="C47" s="118">
        <f>'Monthly Budget'!E89</f>
        <v>4200</v>
      </c>
      <c r="D47" s="121">
        <v>0.5</v>
      </c>
      <c r="E47" s="121">
        <v>0.3</v>
      </c>
      <c r="F47" s="120" t="s">
        <v>174</v>
      </c>
    </row>
    <row r="48" spans="1:12" s="123" customFormat="1" x14ac:dyDescent="0.25">
      <c r="A48" s="67"/>
      <c r="B48" s="85"/>
      <c r="C48" s="101"/>
      <c r="D48" s="124"/>
    </row>
    <row r="49" spans="1:6" s="123" customFormat="1" ht="14.4" x14ac:dyDescent="0.3">
      <c r="A49" s="67" t="s">
        <v>173</v>
      </c>
      <c r="B49" s="127" t="s">
        <v>29</v>
      </c>
      <c r="C49" s="118">
        <f>'Monthly Budget'!E73/12</f>
        <v>65</v>
      </c>
      <c r="D49" s="121">
        <v>0.3</v>
      </c>
      <c r="E49" s="121">
        <v>0.2</v>
      </c>
      <c r="F49" s="120" t="s">
        <v>163</v>
      </c>
    </row>
    <row r="50" spans="1:6" s="123" customFormat="1" ht="14.4" x14ac:dyDescent="0.3">
      <c r="A50" s="67"/>
      <c r="B50" s="127" t="s">
        <v>169</v>
      </c>
      <c r="C50" s="118">
        <f>'Monthly Budget'!E74/12</f>
        <v>70</v>
      </c>
      <c r="D50" s="121">
        <v>0.2</v>
      </c>
      <c r="E50" s="121">
        <v>0.3</v>
      </c>
      <c r="F50" s="120" t="s">
        <v>163</v>
      </c>
    </row>
    <row r="51" spans="1:6" s="123" customFormat="1" ht="14.4" x14ac:dyDescent="0.3">
      <c r="A51" s="67"/>
      <c r="B51" s="127" t="s">
        <v>170</v>
      </c>
      <c r="C51" s="118">
        <f>'Monthly Budget'!E75/12</f>
        <v>80</v>
      </c>
      <c r="D51" s="121">
        <v>0.15</v>
      </c>
      <c r="E51" s="121">
        <v>0.3</v>
      </c>
      <c r="F51" s="120" t="s">
        <v>163</v>
      </c>
    </row>
    <row r="52" spans="1:6" s="123" customFormat="1" x14ac:dyDescent="0.25">
      <c r="A52" s="67"/>
      <c r="B52"/>
      <c r="C52"/>
      <c r="D52"/>
      <c r="E52"/>
      <c r="F52"/>
    </row>
    <row r="53" spans="1:6" s="123" customFormat="1" ht="14.4" x14ac:dyDescent="0.3">
      <c r="A53" s="67" t="s">
        <v>177</v>
      </c>
      <c r="B53" s="127" t="s">
        <v>175</v>
      </c>
      <c r="C53" s="118">
        <f>'Monthly Budget'!E79/12</f>
        <v>75</v>
      </c>
      <c r="D53" s="120" t="s">
        <v>131</v>
      </c>
      <c r="E53"/>
      <c r="F53" s="120"/>
    </row>
    <row r="54" spans="1:6" s="123" customFormat="1" ht="14.4" x14ac:dyDescent="0.3">
      <c r="A54" s="67"/>
      <c r="B54" s="127" t="s">
        <v>179</v>
      </c>
      <c r="C54" s="118">
        <f>'Monthly Budget'!E80/12</f>
        <v>20</v>
      </c>
      <c r="D54" s="120" t="s">
        <v>131</v>
      </c>
      <c r="E54"/>
      <c r="F54" s="120"/>
    </row>
    <row r="55" spans="1:6" s="123" customFormat="1" ht="14.4" x14ac:dyDescent="0.3">
      <c r="A55" s="67"/>
      <c r="B55" s="127" t="s">
        <v>180</v>
      </c>
      <c r="C55" s="118">
        <f>'Monthly Budget'!E81/12</f>
        <v>15</v>
      </c>
      <c r="D55" s="120" t="s">
        <v>131</v>
      </c>
      <c r="E55"/>
      <c r="F55" s="120"/>
    </row>
    <row r="56" spans="1:6" s="123" customFormat="1" ht="14.4" x14ac:dyDescent="0.3">
      <c r="A56" s="67"/>
      <c r="B56" s="127" t="s">
        <v>176</v>
      </c>
      <c r="C56" s="118">
        <f>'Monthly Budget'!E82/12</f>
        <v>0</v>
      </c>
      <c r="D56" s="120" t="s">
        <v>131</v>
      </c>
      <c r="E56"/>
      <c r="F56" s="120"/>
    </row>
    <row r="57" spans="1:6" s="123" customFormat="1" ht="14.4" x14ac:dyDescent="0.3">
      <c r="A57" s="67"/>
      <c r="B57" s="127" t="s">
        <v>58</v>
      </c>
      <c r="C57" s="118">
        <f>'Monthly Budget'!E84/12</f>
        <v>33.333333333333336</v>
      </c>
      <c r="D57" s="120" t="s">
        <v>131</v>
      </c>
      <c r="E57"/>
      <c r="F57" s="120"/>
    </row>
    <row r="58" spans="1:6" s="123" customFormat="1" ht="14.4" x14ac:dyDescent="0.3">
      <c r="A58" s="67"/>
      <c r="B58" s="127"/>
      <c r="C58"/>
      <c r="D58" s="120"/>
      <c r="E58"/>
      <c r="F58" s="120"/>
    </row>
    <row r="59" spans="1:6" s="123" customFormat="1" ht="14.4" x14ac:dyDescent="0.3">
      <c r="A59" s="67" t="s">
        <v>187</v>
      </c>
      <c r="B59" s="127" t="s">
        <v>184</v>
      </c>
      <c r="C59" s="128">
        <v>50000</v>
      </c>
      <c r="D59" s="120" t="s">
        <v>188</v>
      </c>
      <c r="E59"/>
      <c r="F59" s="120"/>
    </row>
    <row r="60" spans="1:6" s="123" customFormat="1" ht="14.4" x14ac:dyDescent="0.3">
      <c r="A60" s="67"/>
      <c r="B60" s="127" t="s">
        <v>3</v>
      </c>
      <c r="C60" s="128">
        <v>12000</v>
      </c>
      <c r="D60" s="120" t="s">
        <v>188</v>
      </c>
      <c r="E60"/>
      <c r="F60" s="120"/>
    </row>
    <row r="61" spans="1:6" s="123" customFormat="1" ht="14.4" x14ac:dyDescent="0.3">
      <c r="A61" s="67"/>
      <c r="B61" s="127" t="s">
        <v>185</v>
      </c>
      <c r="C61" s="128">
        <v>3000</v>
      </c>
      <c r="D61" s="120" t="s">
        <v>188</v>
      </c>
      <c r="E61"/>
      <c r="F61" s="120"/>
    </row>
    <row r="62" spans="1:6" s="123" customFormat="1" ht="14.4" x14ac:dyDescent="0.3">
      <c r="A62" s="67"/>
      <c r="B62" s="127" t="s">
        <v>186</v>
      </c>
      <c r="C62" s="128">
        <v>1500</v>
      </c>
      <c r="D62" s="120" t="s">
        <v>188</v>
      </c>
      <c r="E62"/>
      <c r="F62" s="120"/>
    </row>
    <row r="63" spans="1:6" s="123" customFormat="1" ht="14.4" x14ac:dyDescent="0.3">
      <c r="A63" s="67"/>
      <c r="B63" s="127"/>
      <c r="C63"/>
      <c r="D63" s="120"/>
      <c r="E63"/>
      <c r="F63" s="120"/>
    </row>
    <row r="64" spans="1:6" s="123" customFormat="1" ht="14.4" x14ac:dyDescent="0.3">
      <c r="A64" s="67" t="s">
        <v>50</v>
      </c>
      <c r="B64" s="127" t="s">
        <v>50</v>
      </c>
      <c r="C64" s="118">
        <f>'Monthly Budget'!E87/12</f>
        <v>200</v>
      </c>
      <c r="D64" s="121">
        <v>0.25</v>
      </c>
      <c r="E64" s="121">
        <v>0.3</v>
      </c>
      <c r="F64" s="120" t="s">
        <v>163</v>
      </c>
    </row>
    <row r="65" spans="1:12" s="123" customFormat="1" ht="14.4" x14ac:dyDescent="0.3">
      <c r="A65" s="67"/>
      <c r="B65" s="127" t="s">
        <v>51</v>
      </c>
      <c r="C65" s="118">
        <f>'Monthly Budget'!E88/12</f>
        <v>100</v>
      </c>
      <c r="D65" s="120" t="s">
        <v>131</v>
      </c>
      <c r="E65"/>
      <c r="F65" s="120"/>
    </row>
    <row r="66" spans="1:12" s="115" customFormat="1" x14ac:dyDescent="0.25">
      <c r="A66" s="67"/>
      <c r="B66" s="85"/>
    </row>
    <row r="67" spans="1:12" s="125" customFormat="1" ht="14.4" x14ac:dyDescent="0.3">
      <c r="A67" s="67" t="s">
        <v>194</v>
      </c>
      <c r="B67" s="127" t="s">
        <v>203</v>
      </c>
      <c r="C67" s="92">
        <v>5</v>
      </c>
      <c r="D67" s="120" t="s">
        <v>130</v>
      </c>
    </row>
    <row r="68" spans="1:12" s="125" customFormat="1" ht="14.4" x14ac:dyDescent="0.3">
      <c r="A68" s="67"/>
      <c r="B68" s="127" t="s">
        <v>206</v>
      </c>
      <c r="C68" s="92">
        <v>4</v>
      </c>
      <c r="D68" s="120"/>
    </row>
    <row r="69" spans="1:12" s="125" customFormat="1" x14ac:dyDescent="0.25">
      <c r="A69" s="67"/>
      <c r="B69" s="85" t="s">
        <v>204</v>
      </c>
      <c r="C69" s="92">
        <v>3</v>
      </c>
      <c r="D69" s="120"/>
    </row>
    <row r="70" spans="1:12" s="125" customFormat="1" x14ac:dyDescent="0.25">
      <c r="A70" s="67"/>
      <c r="B70" s="85" t="s">
        <v>205</v>
      </c>
      <c r="C70" s="128">
        <v>30000</v>
      </c>
      <c r="D70" s="120"/>
    </row>
    <row r="71" spans="1:12" s="125" customFormat="1" x14ac:dyDescent="0.25">
      <c r="A71" s="67"/>
      <c r="B71" s="85"/>
    </row>
    <row r="72" spans="1:12" s="125" customFormat="1" x14ac:dyDescent="0.25">
      <c r="A72" s="132" t="s">
        <v>208</v>
      </c>
      <c r="B72" s="106" t="s">
        <v>199</v>
      </c>
      <c r="C72" s="106" t="s">
        <v>108</v>
      </c>
      <c r="D72" s="106" t="s">
        <v>200</v>
      </c>
    </row>
    <row r="73" spans="1:12" s="125" customFormat="1" x14ac:dyDescent="0.25">
      <c r="A73" s="67"/>
      <c r="B73" s="86" t="s">
        <v>201</v>
      </c>
      <c r="C73" s="89">
        <f>1100+3600+1800+2000+1000</f>
        <v>9500</v>
      </c>
      <c r="D73" s="125">
        <v>1</v>
      </c>
    </row>
    <row r="74" spans="1:12" s="125" customFormat="1" x14ac:dyDescent="0.25">
      <c r="A74" s="67"/>
      <c r="B74" s="86" t="s">
        <v>202</v>
      </c>
      <c r="C74" s="89">
        <f>51000-C73</f>
        <v>41500</v>
      </c>
      <c r="D74" s="125">
        <v>2</v>
      </c>
    </row>
    <row r="75" spans="1:12" s="125" customFormat="1" x14ac:dyDescent="0.25">
      <c r="A75" s="67"/>
      <c r="B75" s="85"/>
    </row>
    <row r="76" spans="1:12" x14ac:dyDescent="0.25">
      <c r="A76" s="67" t="s">
        <v>106</v>
      </c>
      <c r="B76" s="106" t="s">
        <v>107</v>
      </c>
      <c r="C76" s="106" t="s">
        <v>108</v>
      </c>
      <c r="D76" s="106"/>
      <c r="E76" s="99"/>
      <c r="F76" s="99"/>
      <c r="G76" s="99"/>
      <c r="H76" s="99"/>
      <c r="K76" s="115"/>
      <c r="L76" s="115"/>
    </row>
    <row r="77" spans="1:12" x14ac:dyDescent="0.25">
      <c r="B77" s="100" t="s">
        <v>98</v>
      </c>
      <c r="C77" s="101">
        <v>1700</v>
      </c>
      <c r="D77" s="102"/>
      <c r="E77" s="102"/>
      <c r="F77" s="102"/>
      <c r="G77" s="103"/>
      <c r="H77" s="103"/>
      <c r="K77" s="115"/>
      <c r="L77" s="115"/>
    </row>
    <row r="78" spans="1:12" x14ac:dyDescent="0.25">
      <c r="B78" s="100" t="s">
        <v>195</v>
      </c>
      <c r="C78" s="101">
        <v>800</v>
      </c>
      <c r="D78" s="102"/>
      <c r="E78" s="102"/>
      <c r="F78" s="102"/>
      <c r="G78" s="103"/>
      <c r="H78" s="103"/>
    </row>
    <row r="79" spans="1:12" x14ac:dyDescent="0.25">
      <c r="B79" s="100" t="s">
        <v>196</v>
      </c>
      <c r="C79" s="101">
        <f>500+1100</f>
        <v>1600</v>
      </c>
      <c r="D79" s="102"/>
      <c r="E79" s="102"/>
      <c r="F79" s="102"/>
      <c r="G79" s="103"/>
      <c r="H79" s="103"/>
    </row>
    <row r="80" spans="1:12" x14ac:dyDescent="0.25">
      <c r="B80" s="100" t="s">
        <v>197</v>
      </c>
      <c r="C80" s="101">
        <v>8000</v>
      </c>
      <c r="D80" s="102"/>
      <c r="E80" s="102"/>
      <c r="F80" s="102"/>
      <c r="G80" s="103"/>
      <c r="H80" s="103"/>
    </row>
    <row r="81" spans="2:8" x14ac:dyDescent="0.25">
      <c r="B81" s="100" t="s">
        <v>198</v>
      </c>
      <c r="C81" s="101">
        <v>8001</v>
      </c>
      <c r="D81" s="102"/>
      <c r="E81" s="102"/>
      <c r="F81" s="102"/>
      <c r="G81" s="103"/>
      <c r="H81" s="103"/>
    </row>
    <row r="82" spans="2:8" x14ac:dyDescent="0.25">
      <c r="B82" s="100" t="s">
        <v>100</v>
      </c>
      <c r="C82" s="101">
        <f>17500+5800</f>
        <v>23300</v>
      </c>
      <c r="D82" s="102"/>
      <c r="E82" s="102"/>
      <c r="F82" s="102"/>
      <c r="G82" s="103"/>
      <c r="H82" s="103"/>
    </row>
    <row r="83" spans="2:8" x14ac:dyDescent="0.25">
      <c r="B83" s="100" t="s">
        <v>101</v>
      </c>
      <c r="C83" s="101">
        <v>25000</v>
      </c>
      <c r="D83" s="102"/>
      <c r="E83" s="102"/>
      <c r="F83" s="102"/>
      <c r="G83" s="103"/>
      <c r="H83" s="103"/>
    </row>
    <row r="84" spans="2:8" x14ac:dyDescent="0.25">
      <c r="B84" s="100" t="s">
        <v>102</v>
      </c>
      <c r="C84" s="101">
        <v>1000</v>
      </c>
      <c r="D84" s="102"/>
      <c r="E84" s="102"/>
      <c r="F84" s="102"/>
      <c r="G84" s="103"/>
      <c r="H84" s="103"/>
    </row>
    <row r="85" spans="2:8" x14ac:dyDescent="0.25">
      <c r="B85" s="100" t="s">
        <v>103</v>
      </c>
      <c r="C85" s="101">
        <v>45000</v>
      </c>
      <c r="D85" s="102"/>
      <c r="E85" s="102"/>
      <c r="F85" s="102"/>
      <c r="G85" s="103"/>
      <c r="H85" s="103"/>
    </row>
    <row r="86" spans="2:8" x14ac:dyDescent="0.25">
      <c r="B86" s="100" t="s">
        <v>104</v>
      </c>
      <c r="C86" s="101">
        <v>3300</v>
      </c>
      <c r="D86" s="102"/>
      <c r="E86" s="102"/>
      <c r="F86" s="102"/>
      <c r="G86" s="103"/>
      <c r="H86" s="103"/>
    </row>
    <row r="87" spans="2:8" x14ac:dyDescent="0.25">
      <c r="B87" s="100" t="s">
        <v>105</v>
      </c>
      <c r="C87" s="101">
        <f>12000+6000</f>
        <v>18000</v>
      </c>
      <c r="D87" s="102"/>
      <c r="E87" s="102"/>
      <c r="F87" s="102"/>
      <c r="G87" s="103"/>
      <c r="H87" s="103"/>
    </row>
    <row r="88" spans="2:8" x14ac:dyDescent="0.25">
      <c r="B88" s="100"/>
      <c r="C88" s="130"/>
      <c r="D88" s="131"/>
      <c r="E88" s="131"/>
      <c r="F88" s="131"/>
      <c r="G88" s="131"/>
      <c r="H88" s="131"/>
    </row>
    <row r="90" spans="2:8" x14ac:dyDescent="0.25">
      <c r="B90" s="106" t="s">
        <v>107</v>
      </c>
      <c r="C90" s="106" t="s">
        <v>215</v>
      </c>
      <c r="D90" s="99"/>
      <c r="E90" s="99"/>
      <c r="F90" s="99"/>
      <c r="G90" s="99"/>
      <c r="H90" s="99"/>
    </row>
    <row r="91" spans="2:8" x14ac:dyDescent="0.25">
      <c r="B91" s="100" t="s">
        <v>98</v>
      </c>
      <c r="C91" s="102">
        <v>0</v>
      </c>
      <c r="D91" s="102">
        <v>2.5000000000000001E-2</v>
      </c>
      <c r="E91" s="102">
        <v>2.5000000000000001E-2</v>
      </c>
      <c r="F91" s="103">
        <v>7.4999999999999997E-2</v>
      </c>
      <c r="G91" s="103">
        <v>7.4999999999999997E-2</v>
      </c>
      <c r="H91"/>
    </row>
    <row r="92" spans="2:8" x14ac:dyDescent="0.25">
      <c r="B92" s="100" t="s">
        <v>195</v>
      </c>
      <c r="C92" s="102">
        <v>0</v>
      </c>
      <c r="D92" s="102">
        <v>2.5000000000000001E-2</v>
      </c>
      <c r="E92" s="102">
        <v>2.5000000000000001E-2</v>
      </c>
      <c r="F92" s="103">
        <v>7.4999999999999997E-2</v>
      </c>
      <c r="G92" s="103">
        <v>0.05</v>
      </c>
      <c r="H92"/>
    </row>
    <row r="93" spans="2:8" x14ac:dyDescent="0.25">
      <c r="B93" s="100" t="s">
        <v>196</v>
      </c>
      <c r="C93" s="102">
        <v>2.5000000000000001E-2</v>
      </c>
      <c r="D93" s="102">
        <v>2.5000000000000001E-2</v>
      </c>
      <c r="E93" s="102">
        <v>0.05</v>
      </c>
      <c r="F93" s="103">
        <v>0.05</v>
      </c>
      <c r="G93" s="103">
        <v>2.5000000000000001E-2</v>
      </c>
      <c r="H93"/>
    </row>
    <row r="94" spans="2:8" x14ac:dyDescent="0.25">
      <c r="B94" s="100" t="s">
        <v>197</v>
      </c>
      <c r="C94" s="102">
        <v>2.5000000000000001E-2</v>
      </c>
      <c r="D94" s="102">
        <v>2.5000000000000001E-2</v>
      </c>
      <c r="E94" s="102">
        <v>2.5000000000000001E-2</v>
      </c>
      <c r="F94" s="103">
        <v>2.5000000000000001E-2</v>
      </c>
      <c r="G94" s="103">
        <v>2.5000000000000001E-2</v>
      </c>
      <c r="H94"/>
    </row>
    <row r="95" spans="2:8" x14ac:dyDescent="0.25">
      <c r="B95" s="100" t="s">
        <v>198</v>
      </c>
      <c r="C95" s="102">
        <v>0.17499999999999999</v>
      </c>
      <c r="D95" s="102">
        <v>0.05</v>
      </c>
      <c r="E95" s="102">
        <v>2.5000000000000001E-2</v>
      </c>
      <c r="F95" s="103">
        <v>2.5000000000000001E-2</v>
      </c>
      <c r="G95" s="103">
        <v>2.5000000000000001E-2</v>
      </c>
      <c r="H95"/>
    </row>
    <row r="96" spans="2:8" x14ac:dyDescent="0.25">
      <c r="B96" s="100" t="s">
        <v>100</v>
      </c>
      <c r="C96" s="102">
        <v>0</v>
      </c>
      <c r="D96" s="102">
        <v>0</v>
      </c>
      <c r="E96" s="102">
        <v>0</v>
      </c>
      <c r="F96" s="103">
        <v>0</v>
      </c>
      <c r="G96" s="103">
        <v>0</v>
      </c>
      <c r="H96"/>
    </row>
    <row r="97" spans="2:8" x14ac:dyDescent="0.25">
      <c r="B97" s="100" t="s">
        <v>101</v>
      </c>
      <c r="C97" s="102">
        <v>0</v>
      </c>
      <c r="D97" s="102">
        <v>0</v>
      </c>
      <c r="E97" s="102">
        <v>0</v>
      </c>
      <c r="F97" s="103">
        <v>0</v>
      </c>
      <c r="G97" s="103">
        <v>0</v>
      </c>
      <c r="H97"/>
    </row>
    <row r="98" spans="2:8" x14ac:dyDescent="0.25">
      <c r="B98" s="100" t="s">
        <v>102</v>
      </c>
      <c r="C98" s="102">
        <f>'Monthly Budget'!F97</f>
        <v>0.02</v>
      </c>
      <c r="D98" s="102">
        <v>2.5000000000000001E-2</v>
      </c>
      <c r="E98" s="102">
        <v>0.125</v>
      </c>
      <c r="F98" s="103">
        <v>0</v>
      </c>
      <c r="G98" s="103">
        <v>0</v>
      </c>
      <c r="H98"/>
    </row>
    <row r="99" spans="2:8" x14ac:dyDescent="0.25">
      <c r="B99" s="100" t="s">
        <v>103</v>
      </c>
      <c r="C99" s="102">
        <v>0.625</v>
      </c>
      <c r="D99" s="102">
        <v>0.32500000000000001</v>
      </c>
      <c r="E99" s="102">
        <v>0.15</v>
      </c>
      <c r="F99" s="103">
        <v>0.3</v>
      </c>
      <c r="G99" s="103">
        <v>0.25</v>
      </c>
      <c r="H99"/>
    </row>
    <row r="100" spans="2:8" x14ac:dyDescent="0.25">
      <c r="B100" s="100" t="s">
        <v>104</v>
      </c>
      <c r="C100" s="102">
        <v>0.1</v>
      </c>
      <c r="D100" s="102">
        <v>0.17499999999999999</v>
      </c>
      <c r="E100" s="102">
        <v>0.22500000000000001</v>
      </c>
      <c r="F100" s="103">
        <v>0.27500000000000002</v>
      </c>
      <c r="G100" s="103">
        <v>0.25</v>
      </c>
      <c r="H100"/>
    </row>
    <row r="101" spans="2:8" x14ac:dyDescent="0.25">
      <c r="B101" s="100" t="s">
        <v>105</v>
      </c>
      <c r="C101" s="102">
        <v>0.04</v>
      </c>
      <c r="D101" s="102">
        <v>0.27500000000000002</v>
      </c>
      <c r="E101" s="102">
        <v>0.3</v>
      </c>
      <c r="F101" s="103">
        <v>0.15</v>
      </c>
      <c r="G101" s="103">
        <v>0.15</v>
      </c>
      <c r="H101"/>
    </row>
    <row r="102" spans="2:8" x14ac:dyDescent="0.25">
      <c r="B102" s="100"/>
      <c r="C102" s="131">
        <f>SUM(Table32[Column2])</f>
        <v>1.01</v>
      </c>
      <c r="D102" s="131">
        <f>SUM(Table32[Column3])</f>
        <v>0.95000000000000007</v>
      </c>
      <c r="E102" s="131">
        <f>SUM(Table32[Column4])</f>
        <v>0.95</v>
      </c>
      <c r="F102" s="131">
        <f>SUM(Table32[Column5])</f>
        <v>0.97500000000000009</v>
      </c>
      <c r="G102" s="131">
        <f>SUM(Table32[Column6])</f>
        <v>0.85</v>
      </c>
      <c r="H102"/>
    </row>
    <row r="104" spans="2:8" x14ac:dyDescent="0.25">
      <c r="B104" s="106" t="s">
        <v>107</v>
      </c>
      <c r="C104" s="106" t="s">
        <v>109</v>
      </c>
      <c r="D104" s="99"/>
      <c r="E104" s="99"/>
      <c r="F104" s="99"/>
      <c r="G104" s="99"/>
    </row>
    <row r="105" spans="2:8" x14ac:dyDescent="0.25">
      <c r="B105" s="100" t="s">
        <v>98</v>
      </c>
      <c r="C105" s="102">
        <v>0.15</v>
      </c>
      <c r="D105" s="102">
        <f>Table325[[#This Row],[Column2]]</f>
        <v>0.15</v>
      </c>
      <c r="E105" s="102">
        <f>Table325[[#This Row],[Column2]]</f>
        <v>0.15</v>
      </c>
      <c r="F105" s="102">
        <f>Table325[[#This Row],[Column2]]</f>
        <v>0.15</v>
      </c>
      <c r="G105" s="102">
        <f>Table325[[#This Row],[Column2]]</f>
        <v>0.15</v>
      </c>
    </row>
    <row r="106" spans="2:8" x14ac:dyDescent="0.25">
      <c r="B106" s="100" t="s">
        <v>195</v>
      </c>
      <c r="C106" s="102">
        <v>0</v>
      </c>
      <c r="D106" s="102">
        <f>Table325[[#This Row],[Column2]]</f>
        <v>0</v>
      </c>
      <c r="E106" s="102">
        <f>Table325[[#This Row],[Column2]]</f>
        <v>0</v>
      </c>
      <c r="F106" s="102">
        <f>Table325[[#This Row],[Column2]]</f>
        <v>0</v>
      </c>
      <c r="G106" s="102">
        <f>Table325[[#This Row],[Column2]]</f>
        <v>0</v>
      </c>
    </row>
    <row r="107" spans="2:8" x14ac:dyDescent="0.25">
      <c r="B107" s="100" t="s">
        <v>196</v>
      </c>
      <c r="C107" s="102">
        <v>0</v>
      </c>
      <c r="D107" s="102">
        <f>Table325[[#This Row],[Column2]]</f>
        <v>0</v>
      </c>
      <c r="E107" s="102">
        <f>Table325[[#This Row],[Column2]]</f>
        <v>0</v>
      </c>
      <c r="F107" s="102">
        <f>Table325[[#This Row],[Column2]]</f>
        <v>0</v>
      </c>
      <c r="G107" s="102">
        <f>Table325[[#This Row],[Column2]]</f>
        <v>0</v>
      </c>
    </row>
    <row r="108" spans="2:8" x14ac:dyDescent="0.25">
      <c r="B108" s="100" t="s">
        <v>197</v>
      </c>
      <c r="C108" s="102">
        <v>0</v>
      </c>
      <c r="D108" s="102">
        <f>Table325[[#This Row],[Column2]]</f>
        <v>0</v>
      </c>
      <c r="E108" s="102">
        <f>Table325[[#This Row],[Column2]]</f>
        <v>0</v>
      </c>
      <c r="F108" s="102">
        <f>Table325[[#This Row],[Column2]]</f>
        <v>0</v>
      </c>
      <c r="G108" s="102">
        <f>Table325[[#This Row],[Column2]]</f>
        <v>0</v>
      </c>
    </row>
    <row r="109" spans="2:8" x14ac:dyDescent="0.25">
      <c r="B109" s="100" t="s">
        <v>198</v>
      </c>
      <c r="C109" s="102">
        <v>0.85</v>
      </c>
      <c r="D109" s="102">
        <f>Table325[[#This Row],[Column2]]</f>
        <v>0.85</v>
      </c>
      <c r="E109" s="102">
        <f>Table325[[#This Row],[Column2]]</f>
        <v>0.85</v>
      </c>
      <c r="F109" s="102">
        <f>Table325[[#This Row],[Column2]]</f>
        <v>0.85</v>
      </c>
      <c r="G109" s="102">
        <f>Table325[[#This Row],[Column2]]</f>
        <v>0.85</v>
      </c>
    </row>
    <row r="110" spans="2:8" x14ac:dyDescent="0.25">
      <c r="B110" s="100"/>
      <c r="C110" s="131">
        <f>SUM(Table325[Column2])</f>
        <v>1</v>
      </c>
      <c r="D110" s="131">
        <f>SUM(Table325[Column3])</f>
        <v>1</v>
      </c>
      <c r="E110" s="131">
        <f>SUM(Table325[Column4])</f>
        <v>1</v>
      </c>
      <c r="F110" s="131">
        <f>SUM(Table325[Column5])</f>
        <v>1</v>
      </c>
      <c r="G110" s="131">
        <f>SUM(Table325[Column6])</f>
        <v>1</v>
      </c>
    </row>
  </sheetData>
  <pageMargins left="0.7" right="0.7" top="0.75" bottom="0.75" header="0.3" footer="0.3"/>
  <pageSetup orientation="portrait" horizontalDpi="4294967292" verticalDpi="0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658E-07F7-43C9-8FC5-7BED9479596B}">
  <sheetPr codeName="Sheet5">
    <tabColor theme="6" tint="0.79998168889431442"/>
  </sheetPr>
  <dimension ref="A1:N38"/>
  <sheetViews>
    <sheetView workbookViewId="0">
      <selection activeCell="C39" sqref="C39"/>
    </sheetView>
  </sheetViews>
  <sheetFormatPr defaultColWidth="9.109375" defaultRowHeight="13.2" x14ac:dyDescent="0.25"/>
  <cols>
    <col min="1" max="1" width="14.33203125" customWidth="1"/>
    <col min="2" max="2" width="4.33203125" customWidth="1"/>
    <col min="3" max="3" width="9.109375" style="113"/>
    <col min="4" max="4" width="11.33203125" style="69" bestFit="1" customWidth="1"/>
    <col min="5" max="6" width="9.109375" style="69"/>
    <col min="7" max="7" width="14" style="69" bestFit="1" customWidth="1"/>
    <col min="8" max="8" width="13.33203125" style="69" bestFit="1" customWidth="1"/>
    <col min="9" max="9" width="9.109375" style="69"/>
    <col min="10" max="10" width="9.6640625" style="69" bestFit="1" customWidth="1"/>
    <col min="11" max="12" width="12.44140625" style="69" bestFit="1" customWidth="1"/>
    <col min="13" max="13" width="10.109375" style="69" customWidth="1"/>
    <col min="14" max="14" width="13.33203125" style="134" customWidth="1"/>
    <col min="15" max="16384" width="9.109375" style="69"/>
  </cols>
  <sheetData>
    <row r="1" spans="3:14" customFormat="1" ht="14.4" x14ac:dyDescent="0.25">
      <c r="C1" s="157" t="s">
        <v>210</v>
      </c>
      <c r="D1" s="157"/>
      <c r="E1" s="157"/>
      <c r="F1" s="157"/>
      <c r="G1" s="157"/>
      <c r="H1" s="157"/>
      <c r="I1" s="157"/>
      <c r="J1" s="157"/>
      <c r="K1" s="157"/>
      <c r="L1" s="157"/>
      <c r="M1" s="157"/>
      <c r="N1" s="157"/>
    </row>
    <row r="2" spans="3:14" customFormat="1" ht="14.4" x14ac:dyDescent="0.3">
      <c r="C2" s="72" t="s">
        <v>111</v>
      </c>
      <c r="D2" s="72" t="s">
        <v>3</v>
      </c>
      <c r="E2" s="72" t="s">
        <v>11</v>
      </c>
      <c r="F2" s="72" t="s">
        <v>54</v>
      </c>
      <c r="G2" s="72" t="s">
        <v>16</v>
      </c>
      <c r="H2" s="72" t="s">
        <v>43</v>
      </c>
      <c r="I2" s="72" t="s">
        <v>56</v>
      </c>
      <c r="J2" s="72" t="s">
        <v>159</v>
      </c>
      <c r="K2" s="72" t="s">
        <v>157</v>
      </c>
      <c r="L2" s="72" t="s">
        <v>209</v>
      </c>
      <c r="M2" s="72" t="s">
        <v>158</v>
      </c>
      <c r="N2" s="136" t="s">
        <v>23</v>
      </c>
    </row>
    <row r="3" spans="3:14" x14ac:dyDescent="0.25">
      <c r="C3" s="113">
        <v>1</v>
      </c>
      <c r="D3" s="69">
        <v>29916.714285714283</v>
      </c>
      <c r="E3" s="69">
        <v>14214.399902266821</v>
      </c>
      <c r="F3" s="69">
        <v>9600</v>
      </c>
      <c r="G3" s="69">
        <v>5619</v>
      </c>
      <c r="H3" s="69">
        <v>3600</v>
      </c>
      <c r="I3" s="69">
        <v>1719.9996000000001</v>
      </c>
      <c r="J3" s="69">
        <v>0</v>
      </c>
      <c r="K3" s="69">
        <v>3600</v>
      </c>
      <c r="M3" s="69">
        <v>2316.8294306824432</v>
      </c>
      <c r="N3" s="135"/>
    </row>
    <row r="4" spans="3:14" x14ac:dyDescent="0.25">
      <c r="C4" s="113">
        <v>2</v>
      </c>
      <c r="D4" s="69">
        <v>31412.55</v>
      </c>
      <c r="E4" s="69">
        <v>13521.205652266823</v>
      </c>
      <c r="F4" s="69">
        <v>9685.7142857142862</v>
      </c>
      <c r="G4" s="69">
        <v>5684.8499999999995</v>
      </c>
      <c r="H4" s="69">
        <v>3624.4285714285716</v>
      </c>
      <c r="I4" s="69">
        <v>1719.9996000000001</v>
      </c>
      <c r="J4" s="69">
        <v>0</v>
      </c>
      <c r="K4" s="69">
        <v>3620.5714285714289</v>
      </c>
      <c r="M4" s="69">
        <v>3357.2964779978843</v>
      </c>
      <c r="N4" s="135"/>
    </row>
    <row r="5" spans="3:14" x14ac:dyDescent="0.25">
      <c r="C5" s="113">
        <v>3</v>
      </c>
      <c r="D5" s="69">
        <v>32983.177499999998</v>
      </c>
      <c r="E5" s="69">
        <v>12931.991152266821</v>
      </c>
      <c r="F5" s="69">
        <v>9771.4285714285706</v>
      </c>
      <c r="G5" s="69">
        <v>5750.7</v>
      </c>
      <c r="H5" s="69">
        <v>3648.8571428571427</v>
      </c>
      <c r="I5" s="69">
        <v>1719.9996000000001</v>
      </c>
      <c r="J5" s="69">
        <v>0</v>
      </c>
      <c r="K5" s="69">
        <v>3641.1428571428569</v>
      </c>
      <c r="M5" s="69">
        <v>2925.5424390730905</v>
      </c>
      <c r="N5" s="135"/>
    </row>
    <row r="6" spans="3:14" x14ac:dyDescent="0.25">
      <c r="C6" s="113">
        <v>4</v>
      </c>
      <c r="D6" s="69">
        <v>132174.27204463337</v>
      </c>
      <c r="E6" s="69">
        <v>4878.0502500000002</v>
      </c>
      <c r="F6" s="69">
        <v>12563.99993</v>
      </c>
      <c r="G6" s="69">
        <v>7237.0071300000009</v>
      </c>
      <c r="H6" s="69">
        <v>4590.6428400000004</v>
      </c>
      <c r="I6" s="69">
        <v>1719.9996000000001</v>
      </c>
      <c r="J6" s="69">
        <v>0</v>
      </c>
      <c r="K6" s="69">
        <v>4277.1428749999995</v>
      </c>
      <c r="M6" s="69">
        <v>2846.0564673527238</v>
      </c>
      <c r="N6" s="135"/>
    </row>
    <row r="7" spans="3:14" x14ac:dyDescent="0.25">
      <c r="C7" s="113">
        <v>5</v>
      </c>
      <c r="D7" s="69">
        <v>42749.639935258361</v>
      </c>
      <c r="E7" s="69">
        <v>4452.3417499999996</v>
      </c>
      <c r="F7" s="69">
        <v>12672.000069999998</v>
      </c>
      <c r="G7" s="69">
        <v>7320.3428700000004</v>
      </c>
      <c r="H7" s="69">
        <v>4620.8571599999996</v>
      </c>
      <c r="I7" s="69">
        <v>1719.9996000000001</v>
      </c>
      <c r="J7" s="69">
        <v>0</v>
      </c>
      <c r="K7" s="69">
        <v>4302.8571250000005</v>
      </c>
      <c r="M7" s="69">
        <v>1019.2329452081539</v>
      </c>
      <c r="N7" s="135"/>
    </row>
    <row r="8" spans="3:14" x14ac:dyDescent="0.25">
      <c r="C8" s="113">
        <v>6</v>
      </c>
      <c r="D8" s="69">
        <v>43340.830443064624</v>
      </c>
      <c r="E8" s="69">
        <v>17063.278376180635</v>
      </c>
      <c r="F8" s="69">
        <v>16305.4287</v>
      </c>
      <c r="G8" s="69">
        <v>9295.7357599999996</v>
      </c>
      <c r="H8" s="69">
        <v>5821.1358</v>
      </c>
      <c r="I8" s="69">
        <v>1719.9996000000001</v>
      </c>
      <c r="J8" s="69">
        <v>0</v>
      </c>
      <c r="K8" s="69">
        <v>5110.71425</v>
      </c>
      <c r="M8" s="69">
        <v>2930.2042140492254</v>
      </c>
      <c r="N8" s="135"/>
    </row>
    <row r="9" spans="3:14" x14ac:dyDescent="0.25">
      <c r="C9" s="113">
        <v>7</v>
      </c>
      <c r="D9" s="69">
        <v>43948.278688353283</v>
      </c>
      <c r="E9" s="69">
        <v>25060.845704671203</v>
      </c>
      <c r="F9" s="69">
        <v>16441.71428</v>
      </c>
      <c r="G9" s="69">
        <v>9401.8028799999993</v>
      </c>
      <c r="H9" s="69">
        <v>5858.5628399999996</v>
      </c>
      <c r="I9" s="69">
        <v>1719.9996000000001</v>
      </c>
      <c r="J9" s="69">
        <v>0</v>
      </c>
      <c r="K9" s="69">
        <v>5142.85725</v>
      </c>
      <c r="M9" s="69">
        <v>4548.0588614313838</v>
      </c>
      <c r="N9" s="135"/>
    </row>
    <row r="10" spans="3:14" x14ac:dyDescent="0.25">
      <c r="C10" s="113">
        <v>8</v>
      </c>
      <c r="D10" s="69">
        <v>44572.43176215703</v>
      </c>
      <c r="E10" s="69">
        <v>16417.330954671204</v>
      </c>
      <c r="F10" s="69">
        <v>16578</v>
      </c>
      <c r="G10" s="69">
        <v>9507.8700000000008</v>
      </c>
      <c r="H10" s="69">
        <v>5895.99</v>
      </c>
      <c r="I10" s="69">
        <v>1719.9996000000001</v>
      </c>
      <c r="J10" s="69">
        <v>0</v>
      </c>
      <c r="K10" s="69">
        <v>5175</v>
      </c>
      <c r="M10" s="69">
        <v>3382.3465302283662</v>
      </c>
      <c r="N10" s="135"/>
    </row>
    <row r="11" spans="3:14" x14ac:dyDescent="0.25">
      <c r="C11" s="113">
        <v>9</v>
      </c>
      <c r="D11" s="69">
        <v>45213.749047070931</v>
      </c>
      <c r="E11" s="69">
        <v>15445.342454671205</v>
      </c>
      <c r="F11" s="69">
        <v>16714.28572</v>
      </c>
      <c r="G11" s="69">
        <v>9613.9371200000005</v>
      </c>
      <c r="H11" s="69">
        <v>5933.4171600000009</v>
      </c>
      <c r="I11" s="69">
        <v>1719.9996000000001</v>
      </c>
      <c r="J11" s="69">
        <v>0</v>
      </c>
      <c r="K11" s="69">
        <v>5207.14275</v>
      </c>
      <c r="M11" s="69">
        <v>147.34101475775174</v>
      </c>
      <c r="N11" s="135"/>
    </row>
    <row r="12" spans="3:14" x14ac:dyDescent="0.25">
      <c r="C12" s="113">
        <v>10</v>
      </c>
      <c r="D12" s="69">
        <v>45872.702553183277</v>
      </c>
      <c r="E12" s="69">
        <v>14619.151704671203</v>
      </c>
      <c r="F12" s="69">
        <v>16850.5713</v>
      </c>
      <c r="G12" s="69">
        <v>9720.0042400000002</v>
      </c>
      <c r="H12" s="69">
        <v>5970.8441999999995</v>
      </c>
      <c r="I12" s="69">
        <v>1719.9996000000001</v>
      </c>
      <c r="J12" s="69">
        <v>0</v>
      </c>
      <c r="K12" s="69">
        <v>5239.28575</v>
      </c>
      <c r="M12" s="69">
        <v>2199.1453277787618</v>
      </c>
      <c r="N12" s="135"/>
    </row>
    <row r="13" spans="3:14" x14ac:dyDescent="0.25">
      <c r="C13" s="113">
        <v>11</v>
      </c>
      <c r="D13" s="69">
        <v>46549.777284313466</v>
      </c>
      <c r="E13" s="69">
        <v>13916.890704671203</v>
      </c>
      <c r="F13" s="69">
        <v>16986.857019999999</v>
      </c>
      <c r="G13" s="69">
        <v>9826.0713599999999</v>
      </c>
      <c r="H13" s="69">
        <v>6008.2713600000006</v>
      </c>
      <c r="I13" s="69">
        <v>1719.9996000000001</v>
      </c>
      <c r="J13" s="69">
        <v>0</v>
      </c>
      <c r="K13" s="69">
        <v>5271.4286249999996</v>
      </c>
      <c r="M13" s="69">
        <v>3622.608425950079</v>
      </c>
      <c r="N13" s="135"/>
    </row>
    <row r="14" spans="3:14" x14ac:dyDescent="0.25">
      <c r="C14" s="113">
        <v>12</v>
      </c>
      <c r="D14" s="69">
        <v>47245.471568091911</v>
      </c>
      <c r="E14" s="69">
        <v>5422.5592500000002</v>
      </c>
      <c r="F14" s="69">
        <v>17123.142980000001</v>
      </c>
      <c r="G14" s="69">
        <v>9932.138640000001</v>
      </c>
      <c r="H14" s="69">
        <v>6045.6986400000005</v>
      </c>
      <c r="I14" s="69">
        <v>1719.9996000000001</v>
      </c>
      <c r="J14" s="69">
        <v>0</v>
      </c>
      <c r="K14" s="69">
        <v>5303.5713750000004</v>
      </c>
      <c r="M14" s="69">
        <v>8732.3315524505724</v>
      </c>
      <c r="N14" s="135"/>
    </row>
    <row r="15" spans="3:14" x14ac:dyDescent="0.25">
      <c r="C15" s="113">
        <v>13</v>
      </c>
      <c r="D15" s="69">
        <v>47960.297446769087</v>
      </c>
      <c r="E15" s="69">
        <v>4915.1765000000005</v>
      </c>
      <c r="F15" s="69">
        <v>17259.4287</v>
      </c>
      <c r="G15" s="69">
        <v>10038.205759999999</v>
      </c>
      <c r="H15" s="69">
        <v>6083.1257999999998</v>
      </c>
      <c r="I15" s="69">
        <v>1719.9996000000001</v>
      </c>
      <c r="J15" s="69">
        <v>0</v>
      </c>
      <c r="K15" s="69">
        <v>5335.71425</v>
      </c>
      <c r="M15" s="69">
        <v>3085.8136352413612</v>
      </c>
      <c r="N15" s="135"/>
    </row>
    <row r="16" spans="3:14" x14ac:dyDescent="0.25">
      <c r="C16" s="113">
        <v>14</v>
      </c>
      <c r="D16" s="69">
        <v>48694.781035068001</v>
      </c>
      <c r="E16" s="69">
        <v>20153.768751416763</v>
      </c>
      <c r="F16" s="69">
        <v>17395.71428</v>
      </c>
      <c r="G16" s="69">
        <v>10144.27288</v>
      </c>
      <c r="H16" s="69">
        <v>6120.5528399999994</v>
      </c>
      <c r="I16" s="69">
        <v>1719.9996000000001</v>
      </c>
      <c r="J16" s="69">
        <v>0</v>
      </c>
      <c r="K16" s="69">
        <v>5367.85725</v>
      </c>
      <c r="M16" s="69">
        <v>10311.790558277597</v>
      </c>
      <c r="N16" s="135"/>
    </row>
    <row r="17" spans="3:14" x14ac:dyDescent="0.25">
      <c r="C17" s="113">
        <v>15</v>
      </c>
      <c r="D17" s="69">
        <v>49449.462923822342</v>
      </c>
      <c r="E17" s="69">
        <v>11769.807001416764</v>
      </c>
      <c r="F17" s="69">
        <v>17532</v>
      </c>
      <c r="G17" s="69">
        <v>10250.34</v>
      </c>
      <c r="H17" s="69">
        <v>6157.98</v>
      </c>
      <c r="I17" s="69">
        <v>1719.9996000000001</v>
      </c>
      <c r="J17" s="69">
        <v>0</v>
      </c>
      <c r="K17" s="69">
        <v>5400</v>
      </c>
      <c r="M17" s="69">
        <v>8359.6236618742769</v>
      </c>
      <c r="N17" s="135"/>
    </row>
    <row r="18" spans="3:14" x14ac:dyDescent="0.25">
      <c r="C18" s="113">
        <v>16</v>
      </c>
      <c r="D18" s="69">
        <v>50224.898562944414</v>
      </c>
      <c r="E18" s="69">
        <v>27613.890319750077</v>
      </c>
      <c r="F18" s="69">
        <v>17668.28572</v>
      </c>
      <c r="G18" s="69">
        <v>10356.40712</v>
      </c>
      <c r="H18" s="69">
        <v>6195.4071600000007</v>
      </c>
      <c r="I18" s="69">
        <v>1719.9996000000001</v>
      </c>
      <c r="J18" s="69">
        <v>0</v>
      </c>
      <c r="K18" s="69">
        <v>5432.14275</v>
      </c>
      <c r="M18" s="69">
        <v>566.01013344621049</v>
      </c>
      <c r="N18" s="135"/>
    </row>
    <row r="19" spans="3:14" x14ac:dyDescent="0.25">
      <c r="C19" s="113">
        <v>17</v>
      </c>
      <c r="D19" s="69">
        <v>51021.658681295332</v>
      </c>
      <c r="E19" s="69">
        <v>17599.329819750077</v>
      </c>
      <c r="F19" s="69">
        <v>17804.571300000003</v>
      </c>
      <c r="G19" s="69">
        <v>10462.474240000001</v>
      </c>
      <c r="H19" s="69">
        <v>6232.8341999999993</v>
      </c>
      <c r="I19" s="69">
        <v>1719.9996000000001</v>
      </c>
      <c r="J19" s="69">
        <v>0</v>
      </c>
      <c r="K19" s="69">
        <v>5464.28575</v>
      </c>
      <c r="M19" s="69">
        <v>4370.3111757055849</v>
      </c>
      <c r="N19" s="135"/>
    </row>
    <row r="20" spans="3:14" x14ac:dyDescent="0.25">
      <c r="C20" s="113">
        <v>18</v>
      </c>
      <c r="D20" s="69">
        <v>198578.82460424473</v>
      </c>
      <c r="E20" s="69">
        <v>16524.45181975008</v>
      </c>
      <c r="F20" s="69">
        <v>17940.857019999999</v>
      </c>
      <c r="G20" s="69">
        <v>10568.541359999999</v>
      </c>
      <c r="H20" s="69">
        <v>6270.2613599999995</v>
      </c>
      <c r="I20" s="69">
        <v>1719.9996000000001</v>
      </c>
      <c r="J20" s="69">
        <v>0</v>
      </c>
      <c r="K20" s="69">
        <v>5496.4286249999996</v>
      </c>
      <c r="M20" s="69">
        <v>10560.337201519053</v>
      </c>
      <c r="N20" s="135"/>
    </row>
    <row r="21" spans="3:14" x14ac:dyDescent="0.25">
      <c r="C21" s="113">
        <v>19</v>
      </c>
      <c r="D21" s="69">
        <v>49537.771088619709</v>
      </c>
      <c r="E21" s="69">
        <v>15610.806569750079</v>
      </c>
      <c r="F21" s="69">
        <v>18077.142980000001</v>
      </c>
      <c r="G21" s="69">
        <v>10674.60864</v>
      </c>
      <c r="H21" s="69">
        <v>6307.6886399999994</v>
      </c>
      <c r="I21" s="69">
        <v>1719.9996000000001</v>
      </c>
      <c r="J21" s="69">
        <v>0</v>
      </c>
      <c r="K21" s="69">
        <v>5528.5713750000004</v>
      </c>
      <c r="M21" s="69">
        <v>8375.730784857582</v>
      </c>
      <c r="N21" s="135"/>
    </row>
    <row r="22" spans="3:14" x14ac:dyDescent="0.25">
      <c r="C22" s="113">
        <v>20</v>
      </c>
      <c r="D22" s="69">
        <v>50523.088602638461</v>
      </c>
      <c r="E22" s="69">
        <v>14834.209069750077</v>
      </c>
      <c r="F22" s="69">
        <v>18213.4287</v>
      </c>
      <c r="G22" s="69">
        <v>10780.67576</v>
      </c>
      <c r="H22" s="69">
        <v>6345.1157999999996</v>
      </c>
      <c r="I22" s="69">
        <v>1719.9996000000001</v>
      </c>
      <c r="J22" s="69">
        <v>0</v>
      </c>
      <c r="K22" s="69">
        <v>5560.71425</v>
      </c>
      <c r="M22" s="69">
        <v>6124.352908281202</v>
      </c>
      <c r="N22" s="135"/>
    </row>
    <row r="23" spans="3:14" x14ac:dyDescent="0.25">
      <c r="C23" s="113">
        <v>21</v>
      </c>
      <c r="D23" s="69">
        <v>51535.502346802925</v>
      </c>
      <c r="E23" s="69">
        <v>18293.010813562571</v>
      </c>
      <c r="F23" s="69">
        <v>18349.71428</v>
      </c>
      <c r="G23" s="69">
        <v>10886.74288</v>
      </c>
      <c r="H23" s="69">
        <v>6382.5428400000001</v>
      </c>
      <c r="I23" s="69">
        <v>1719.9996000000001</v>
      </c>
      <c r="J23" s="69">
        <v>0</v>
      </c>
      <c r="K23" s="69">
        <v>5592.85725</v>
      </c>
      <c r="M23" s="69">
        <v>7044.5746335282711</v>
      </c>
      <c r="N23" s="135"/>
    </row>
    <row r="24" spans="3:14" x14ac:dyDescent="0.25">
      <c r="C24" s="113">
        <v>22</v>
      </c>
      <c r="D24" s="69">
        <v>52575.757466784147</v>
      </c>
      <c r="E24" s="69">
        <v>31951.6796766027</v>
      </c>
      <c r="F24" s="69">
        <v>18486</v>
      </c>
      <c r="G24" s="69">
        <v>10992.81</v>
      </c>
      <c r="H24" s="69">
        <v>6419.97</v>
      </c>
      <c r="I24" s="69">
        <v>1719.9996000000001</v>
      </c>
      <c r="J24" s="69">
        <v>66500</v>
      </c>
      <c r="K24" s="69">
        <v>5625</v>
      </c>
      <c r="M24" s="69">
        <v>15241.787922776826</v>
      </c>
      <c r="N24" s="135"/>
    </row>
    <row r="25" spans="3:14" x14ac:dyDescent="0.25">
      <c r="C25" s="113">
        <v>23</v>
      </c>
      <c r="D25" s="69">
        <v>53644.619607298977</v>
      </c>
      <c r="E25" s="69">
        <v>31088.498856066355</v>
      </c>
      <c r="F25" s="69">
        <v>18622.28572</v>
      </c>
      <c r="G25" s="69">
        <v>11098.877120000001</v>
      </c>
      <c r="H25" s="69">
        <v>6457.3971600000004</v>
      </c>
      <c r="I25" s="69">
        <v>1719.9996000000001</v>
      </c>
      <c r="J25" s="69">
        <v>66500</v>
      </c>
      <c r="K25" s="69">
        <v>5657.14275</v>
      </c>
      <c r="M25" s="69">
        <v>9702.4217120220419</v>
      </c>
      <c r="N25" s="135"/>
    </row>
    <row r="26" spans="3:14" x14ac:dyDescent="0.25">
      <c r="C26" s="113">
        <v>24</v>
      </c>
      <c r="D26" s="69">
        <v>54742.875452836226</v>
      </c>
      <c r="E26" s="69">
        <v>23589.773856066353</v>
      </c>
      <c r="F26" s="69">
        <v>18758.571300000003</v>
      </c>
      <c r="G26" s="69">
        <v>11204.944240000001</v>
      </c>
      <c r="H26" s="69">
        <v>6494.8242000000009</v>
      </c>
      <c r="I26" s="69">
        <v>1719.9996000000001</v>
      </c>
      <c r="J26" s="69">
        <v>133000</v>
      </c>
      <c r="K26" s="69">
        <v>5689.28575</v>
      </c>
      <c r="M26" s="69">
        <v>9267.3437556871013</v>
      </c>
      <c r="N26" s="135"/>
    </row>
    <row r="27" spans="3:14" x14ac:dyDescent="0.25">
      <c r="C27" s="113">
        <v>25</v>
      </c>
      <c r="D27" s="69">
        <v>55871.333337044867</v>
      </c>
      <c r="E27" s="69">
        <v>38786.818594302655</v>
      </c>
      <c r="F27" s="69">
        <v>18894.857020000003</v>
      </c>
      <c r="G27" s="69">
        <v>11311.01136</v>
      </c>
      <c r="H27" s="69">
        <v>6532.2513600000002</v>
      </c>
      <c r="I27" s="69">
        <v>1719.9996000000001</v>
      </c>
      <c r="J27" s="69">
        <v>133000</v>
      </c>
      <c r="K27" s="69">
        <v>5721.4286249999996</v>
      </c>
      <c r="M27" s="69">
        <v>12676.106149598374</v>
      </c>
      <c r="N27" s="135"/>
    </row>
    <row r="28" spans="3:14" x14ac:dyDescent="0.25">
      <c r="C28" s="113">
        <v>26</v>
      </c>
      <c r="D28" s="69">
        <v>57030.82380900062</v>
      </c>
      <c r="E28" s="69">
        <v>26721.431844302653</v>
      </c>
      <c r="F28" s="69">
        <v>14940.000069999998</v>
      </c>
      <c r="G28" s="69">
        <v>9070.3928699999997</v>
      </c>
      <c r="H28" s="69">
        <v>5255.3571599999996</v>
      </c>
      <c r="I28" s="69">
        <v>1719.9996000000001</v>
      </c>
      <c r="J28" s="69">
        <v>66500</v>
      </c>
      <c r="K28" s="69">
        <v>4842.8571250000005</v>
      </c>
      <c r="M28" s="69">
        <v>19752.090003553574</v>
      </c>
      <c r="N28" s="135"/>
    </row>
    <row r="29" spans="3:14" x14ac:dyDescent="0.25">
      <c r="C29" s="113">
        <v>27</v>
      </c>
      <c r="D29" s="69">
        <v>58222.200271445901</v>
      </c>
      <c r="E29" s="69">
        <v>24965.852844302652</v>
      </c>
      <c r="F29" s="69">
        <v>15048.000090000001</v>
      </c>
      <c r="G29" s="69">
        <v>9153.7285800000009</v>
      </c>
      <c r="H29" s="69">
        <v>5285.5714799999996</v>
      </c>
      <c r="I29" s="69">
        <v>1719.9996000000001</v>
      </c>
      <c r="J29" s="69">
        <v>66500</v>
      </c>
      <c r="K29" s="69">
        <v>4868.5713750000004</v>
      </c>
      <c r="M29" s="69">
        <v>18615.232577325358</v>
      </c>
      <c r="N29" s="135"/>
    </row>
    <row r="30" spans="3:14" x14ac:dyDescent="0.25">
      <c r="C30" s="113">
        <v>28</v>
      </c>
      <c r="D30" s="69">
        <v>59446.33958830245</v>
      </c>
      <c r="E30" s="69">
        <v>22400.678344302651</v>
      </c>
      <c r="F30" s="69">
        <v>11914.285714285714</v>
      </c>
      <c r="G30" s="69">
        <v>7396.95</v>
      </c>
      <c r="H30" s="69">
        <v>4259.5714285714284</v>
      </c>
      <c r="I30" s="69">
        <v>1719.9996000000001</v>
      </c>
      <c r="J30" s="69">
        <v>0</v>
      </c>
      <c r="K30" s="69">
        <v>4155.4285714285706</v>
      </c>
      <c r="M30" s="69">
        <v>14972.816200894857</v>
      </c>
      <c r="N30" s="135"/>
    </row>
    <row r="31" spans="3:14" x14ac:dyDescent="0.25">
      <c r="C31" s="113">
        <v>29</v>
      </c>
      <c r="D31" s="69">
        <v>60704.14273420965</v>
      </c>
      <c r="E31" s="69">
        <v>21293.211844302648</v>
      </c>
      <c r="F31" s="69">
        <v>12000</v>
      </c>
      <c r="G31" s="69">
        <v>7462.8</v>
      </c>
      <c r="H31" s="69">
        <v>4284</v>
      </c>
      <c r="I31" s="69">
        <v>1719.9996000000001</v>
      </c>
      <c r="J31" s="69">
        <v>0</v>
      </c>
      <c r="K31" s="69">
        <v>4176</v>
      </c>
      <c r="M31" s="69">
        <v>11204.163385947399</v>
      </c>
      <c r="N31" s="135"/>
    </row>
    <row r="32" spans="3:14" x14ac:dyDescent="0.25">
      <c r="C32" s="113">
        <v>30</v>
      </c>
      <c r="D32" s="69">
        <v>61996.535468096452</v>
      </c>
      <c r="E32" s="69">
        <v>6301.3654999999999</v>
      </c>
      <c r="F32" s="69">
        <v>12085.714285714286</v>
      </c>
      <c r="G32" s="69">
        <v>7528.65</v>
      </c>
      <c r="H32" s="69">
        <v>4308.4285714285716</v>
      </c>
      <c r="I32" s="69">
        <v>1719.9996000000001</v>
      </c>
      <c r="J32" s="69">
        <v>0</v>
      </c>
      <c r="K32" s="69">
        <v>4196.5714285714294</v>
      </c>
      <c r="M32" s="69">
        <v>20948.97844480749</v>
      </c>
      <c r="N32" s="135"/>
    </row>
    <row r="33" spans="3:14" x14ac:dyDescent="0.25">
      <c r="C33" s="113">
        <v>31</v>
      </c>
      <c r="D33" s="69">
        <v>63324.469000698002</v>
      </c>
      <c r="E33" s="69">
        <v>29308.828127125144</v>
      </c>
      <c r="F33" s="69">
        <v>12171.428571428569</v>
      </c>
      <c r="G33" s="69">
        <v>7594.5</v>
      </c>
      <c r="H33" s="69">
        <v>4332.8571428571422</v>
      </c>
      <c r="I33" s="69">
        <v>1719.9996000000001</v>
      </c>
      <c r="J33" s="69">
        <v>0</v>
      </c>
      <c r="K33" s="69">
        <v>4217.1428571428569</v>
      </c>
      <c r="M33" s="69">
        <v>17852.041069290808</v>
      </c>
      <c r="N33" s="135"/>
    </row>
    <row r="34" spans="3:14" x14ac:dyDescent="0.25">
      <c r="C34" s="113">
        <v>32</v>
      </c>
      <c r="D34" s="69">
        <v>64688.920704583965</v>
      </c>
      <c r="E34" s="69">
        <v>16718.160127125142</v>
      </c>
      <c r="F34" s="69">
        <v>12257.142857142859</v>
      </c>
      <c r="G34" s="69">
        <v>7660.3499999999995</v>
      </c>
      <c r="H34" s="69">
        <v>4357.2857142857138</v>
      </c>
      <c r="I34" s="69">
        <v>1719.9996000000001</v>
      </c>
      <c r="J34" s="69">
        <v>0</v>
      </c>
      <c r="K34" s="69">
        <v>4237.7142857142853</v>
      </c>
      <c r="M34" s="69">
        <v>18064.620562399741</v>
      </c>
      <c r="N34" s="135"/>
    </row>
    <row r="35" spans="3:14" x14ac:dyDescent="0.25">
      <c r="C35" s="113">
        <v>33</v>
      </c>
      <c r="D35" s="69">
        <v>852082.5862126539</v>
      </c>
      <c r="E35" s="69">
        <v>15578.591627125144</v>
      </c>
      <c r="F35" s="69">
        <v>12342.857142857143</v>
      </c>
      <c r="G35" s="69">
        <v>7726.2</v>
      </c>
      <c r="H35" s="69">
        <v>4381.7142857142853</v>
      </c>
      <c r="I35" s="69">
        <v>1719.9996000000001</v>
      </c>
      <c r="J35" s="69">
        <v>0</v>
      </c>
      <c r="K35" s="69">
        <v>4258.2857142857138</v>
      </c>
      <c r="M35" s="69">
        <v>22430.551028046546</v>
      </c>
      <c r="N35" s="135"/>
    </row>
    <row r="36" spans="3:14" x14ac:dyDescent="0.25">
      <c r="C36" s="113">
        <v>34</v>
      </c>
      <c r="D36" s="69">
        <v>255918.37215015382</v>
      </c>
      <c r="E36" s="69">
        <v>34088.904408722752</v>
      </c>
      <c r="F36" s="69">
        <v>12428.571428571428</v>
      </c>
      <c r="G36" s="69">
        <v>7792.0500000000011</v>
      </c>
      <c r="H36" s="69">
        <v>4406.1428571428569</v>
      </c>
      <c r="I36" s="69">
        <v>1719.9996000000001</v>
      </c>
      <c r="J36" s="69">
        <v>0</v>
      </c>
      <c r="K36" s="69">
        <v>4278.8571428571431</v>
      </c>
      <c r="M36" s="69">
        <v>12869.078271531098</v>
      </c>
      <c r="N36" s="135"/>
    </row>
    <row r="37" spans="3:14" x14ac:dyDescent="0.25">
      <c r="C37" s="113">
        <v>35</v>
      </c>
      <c r="D37" s="69">
        <v>259859.64220017885</v>
      </c>
      <c r="E37" s="69">
        <v>21218.222408722755</v>
      </c>
      <c r="F37" s="69">
        <v>12514.285714285716</v>
      </c>
      <c r="G37" s="69">
        <v>7857.9</v>
      </c>
      <c r="H37" s="69">
        <v>4430.5714285714284</v>
      </c>
      <c r="I37" s="69">
        <v>1719.9996000000001</v>
      </c>
      <c r="J37" s="69">
        <v>0</v>
      </c>
      <c r="K37" s="69">
        <v>4299.4285714285706</v>
      </c>
      <c r="M37" s="69">
        <v>16725.101222502446</v>
      </c>
      <c r="N37" s="135"/>
    </row>
    <row r="38" spans="3:14" x14ac:dyDescent="0.25">
      <c r="C38" s="113">
        <v>36</v>
      </c>
      <c r="D38" s="69">
        <v>263909.2971768367</v>
      </c>
      <c r="E38" s="69">
        <v>19840.641658722754</v>
      </c>
      <c r="F38" s="69">
        <v>12600</v>
      </c>
      <c r="G38" s="69">
        <v>7923.75</v>
      </c>
      <c r="H38" s="69">
        <v>4455</v>
      </c>
      <c r="I38" s="69">
        <v>1719.9996000000001</v>
      </c>
      <c r="J38" s="69">
        <v>0</v>
      </c>
      <c r="K38" s="69">
        <v>4320</v>
      </c>
      <c r="M38" s="69">
        <v>17220.830469303353</v>
      </c>
      <c r="N38" s="135"/>
    </row>
  </sheetData>
  <mergeCells count="1">
    <mergeCell ref="C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Savings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65D97-7665-4BE1-8715-64B8B0BF6E17}">
  <sheetPr codeName="Sheet13">
    <tabColor theme="6" tint="0.79998168889431442"/>
  </sheetPr>
  <dimension ref="A1"/>
  <sheetViews>
    <sheetView workbookViewId="0">
      <selection activeCell="A2" sqref="A2:H13"/>
    </sheetView>
  </sheetViews>
  <sheetFormatPr defaultRowHeight="13.2" x14ac:dyDescent="0.25"/>
  <cols>
    <col min="4" max="4" width="9.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AFDC-8D3F-4F5B-98D0-B98898040896}">
  <sheetPr codeName="Sheet14">
    <tabColor theme="6" tint="0.79998168889431442"/>
  </sheetPr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6D460-80D0-47D7-AAE0-C7271A5367A5}">
  <sheetPr codeName="Sheet7"/>
  <dimension ref="B1:O38"/>
  <sheetViews>
    <sheetView topLeftCell="A6" zoomScale="85" zoomScaleNormal="85" workbookViewId="0">
      <selection activeCell="K39" sqref="K39"/>
    </sheetView>
  </sheetViews>
  <sheetFormatPr defaultRowHeight="13.2" x14ac:dyDescent="0.25"/>
  <cols>
    <col min="2" max="2" width="9.109375" style="113"/>
    <col min="3" max="9" width="12.109375" style="69" customWidth="1"/>
    <col min="11" max="11" width="9.5546875" style="69" bestFit="1" customWidth="1"/>
    <col min="12" max="12" width="9.109375" style="69"/>
    <col min="13" max="13" width="9.6640625" style="69" bestFit="1" customWidth="1"/>
    <col min="14" max="15" width="9.109375" style="69"/>
  </cols>
  <sheetData>
    <row r="1" spans="2:15" ht="14.4" x14ac:dyDescent="0.3">
      <c r="B1" s="158" t="s">
        <v>110</v>
      </c>
      <c r="C1" s="158"/>
      <c r="D1" s="158"/>
      <c r="E1" s="158"/>
      <c r="F1" s="158"/>
      <c r="G1" s="158"/>
      <c r="H1" s="158"/>
      <c r="I1" s="158"/>
      <c r="K1" s="158" t="s">
        <v>126</v>
      </c>
      <c r="L1" s="158"/>
      <c r="M1" s="158"/>
      <c r="N1" s="158"/>
      <c r="O1" s="158"/>
    </row>
    <row r="2" spans="2:15" ht="14.4" x14ac:dyDescent="0.3">
      <c r="B2" s="72" t="s">
        <v>111</v>
      </c>
      <c r="C2" s="72" t="s">
        <v>112</v>
      </c>
      <c r="D2" s="72" t="s">
        <v>113</v>
      </c>
      <c r="E2" s="72" t="s">
        <v>115</v>
      </c>
      <c r="F2" s="72" t="s">
        <v>86</v>
      </c>
      <c r="G2" s="72" t="s">
        <v>114</v>
      </c>
      <c r="H2" s="72" t="s">
        <v>121</v>
      </c>
      <c r="I2" s="72" t="s">
        <v>116</v>
      </c>
      <c r="K2" s="72" t="s">
        <v>123</v>
      </c>
      <c r="L2" s="72" t="s">
        <v>124</v>
      </c>
      <c r="M2" s="72" t="s">
        <v>127</v>
      </c>
      <c r="N2" s="72" t="s">
        <v>128</v>
      </c>
      <c r="O2" s="72" t="s">
        <v>10</v>
      </c>
    </row>
    <row r="3" spans="2:15" x14ac:dyDescent="0.25">
      <c r="B3" s="113">
        <v>1</v>
      </c>
      <c r="D3" s="69">
        <v>26700</v>
      </c>
      <c r="K3" s="69">
        <v>228.85714285714286</v>
      </c>
      <c r="L3" s="69">
        <v>635.71428571428567</v>
      </c>
      <c r="M3" s="69">
        <v>1652.8571428571429</v>
      </c>
      <c r="N3" s="69">
        <v>317.85714285714283</v>
      </c>
      <c r="O3" s="69">
        <v>381.42857142857144</v>
      </c>
    </row>
    <row r="4" spans="2:15" x14ac:dyDescent="0.25">
      <c r="B4" s="113">
        <v>2</v>
      </c>
      <c r="D4" s="69">
        <v>28035</v>
      </c>
      <c r="K4" s="69">
        <v>240.3</v>
      </c>
      <c r="L4" s="69">
        <v>667.5</v>
      </c>
      <c r="M4" s="69">
        <v>1735.5</v>
      </c>
      <c r="N4" s="69">
        <v>333.75</v>
      </c>
      <c r="O4" s="69">
        <v>400.5</v>
      </c>
    </row>
    <row r="5" spans="2:15" x14ac:dyDescent="0.25">
      <c r="B5" s="113">
        <v>3</v>
      </c>
      <c r="D5" s="69">
        <v>29436.75</v>
      </c>
      <c r="K5" s="69">
        <v>252.31500000000003</v>
      </c>
      <c r="L5" s="69">
        <v>700.875</v>
      </c>
      <c r="M5" s="69">
        <v>1822.2750000000001</v>
      </c>
      <c r="N5" s="69">
        <v>350.4375</v>
      </c>
      <c r="O5" s="69">
        <v>420.52499999999998</v>
      </c>
    </row>
    <row r="6" spans="2:15" x14ac:dyDescent="0.25">
      <c r="B6" s="113">
        <v>4</v>
      </c>
      <c r="C6" s="69">
        <v>353930.8808773302</v>
      </c>
      <c r="D6" s="69">
        <v>21251.80329463337</v>
      </c>
      <c r="E6" s="69">
        <v>6069.1191226695482</v>
      </c>
      <c r="F6" s="69">
        <v>15182.684171963821</v>
      </c>
      <c r="G6" s="69">
        <v>462375.00000000006</v>
      </c>
      <c r="H6" s="69">
        <v>6935.6250000000009</v>
      </c>
      <c r="I6" s="69">
        <v>90000</v>
      </c>
      <c r="K6" s="69">
        <v>2311.875</v>
      </c>
      <c r="L6" s="69">
        <v>9247.5</v>
      </c>
      <c r="M6" s="69">
        <v>1618.3125</v>
      </c>
      <c r="N6" s="69">
        <v>462.375</v>
      </c>
      <c r="O6" s="69">
        <v>346.78125</v>
      </c>
    </row>
    <row r="7" spans="2:15" x14ac:dyDescent="0.25">
      <c r="B7" s="113">
        <v>5</v>
      </c>
      <c r="C7" s="69">
        <v>347598.73999187298</v>
      </c>
      <c r="D7" s="69">
        <v>21251.80329463337</v>
      </c>
      <c r="E7" s="69">
        <v>6332.14088545707</v>
      </c>
      <c r="F7" s="69">
        <v>14919.662409176301</v>
      </c>
      <c r="G7" s="69">
        <v>475090.31250000006</v>
      </c>
      <c r="H7" s="69">
        <v>7126.3546875000002</v>
      </c>
      <c r="K7" s="69">
        <v>2375.4515624999999</v>
      </c>
      <c r="L7" s="69">
        <v>9501.8062499999996</v>
      </c>
      <c r="M7" s="69">
        <v>1662.8160937499999</v>
      </c>
      <c r="N7" s="69">
        <v>475.09031249999998</v>
      </c>
      <c r="O7" s="69">
        <v>356.31773437499999</v>
      </c>
    </row>
    <row r="8" spans="2:15" x14ac:dyDescent="0.25">
      <c r="B8" s="113">
        <v>6</v>
      </c>
      <c r="C8" s="69">
        <v>340992.17858108925</v>
      </c>
      <c r="D8" s="69">
        <v>21251.80329463337</v>
      </c>
      <c r="E8" s="69">
        <v>6606.5614107835363</v>
      </c>
      <c r="F8" s="69">
        <v>14645.241883849836</v>
      </c>
      <c r="G8" s="69">
        <v>488155.2960937501</v>
      </c>
      <c r="H8" s="69">
        <v>7322.3294414062511</v>
      </c>
      <c r="K8" s="69">
        <v>2440.7764805000002</v>
      </c>
      <c r="L8" s="69">
        <v>9763.1059220000006</v>
      </c>
      <c r="M8" s="69">
        <v>1708.5435363500001</v>
      </c>
      <c r="N8" s="69">
        <v>488.15529609999999</v>
      </c>
      <c r="O8" s="69">
        <v>366.11647207499999</v>
      </c>
    </row>
    <row r="9" spans="2:15" x14ac:dyDescent="0.25">
      <c r="B9" s="113">
        <v>7</v>
      </c>
      <c r="C9" s="69">
        <v>334099.30388610292</v>
      </c>
      <c r="D9" s="69">
        <v>21251.80329463337</v>
      </c>
      <c r="E9" s="69">
        <v>6892.8746949861343</v>
      </c>
      <c r="F9" s="69">
        <v>14358.928599647237</v>
      </c>
      <c r="G9" s="69">
        <v>501579.56673632824</v>
      </c>
      <c r="H9" s="69">
        <v>7523.6935010449233</v>
      </c>
      <c r="K9" s="69">
        <v>2507.8978335000002</v>
      </c>
      <c r="L9" s="69">
        <v>10031.591334000001</v>
      </c>
      <c r="M9" s="69">
        <v>1755.5284834500001</v>
      </c>
      <c r="N9" s="69">
        <v>501.57956670000004</v>
      </c>
      <c r="O9" s="69">
        <v>376.18467502500005</v>
      </c>
    </row>
    <row r="10" spans="2:15" x14ac:dyDescent="0.25">
      <c r="B10" s="113">
        <v>8</v>
      </c>
      <c r="C10" s="69">
        <v>326907.70774302754</v>
      </c>
      <c r="D10" s="69">
        <v>21251.80329463337</v>
      </c>
      <c r="E10" s="69">
        <v>7191.5961430751786</v>
      </c>
      <c r="F10" s="69">
        <v>14060.207151558192</v>
      </c>
      <c r="G10" s="69">
        <v>515373.00482157734</v>
      </c>
      <c r="H10" s="69">
        <v>7730.5950723236601</v>
      </c>
      <c r="K10" s="69">
        <v>2576.8650240000002</v>
      </c>
      <c r="L10" s="69">
        <v>10307.460096000001</v>
      </c>
      <c r="M10" s="69">
        <v>1803.8055168000001</v>
      </c>
      <c r="N10" s="69">
        <v>515.37300479999999</v>
      </c>
      <c r="O10" s="69">
        <v>386.52975359999999</v>
      </c>
    </row>
    <row r="11" spans="2:15" x14ac:dyDescent="0.25">
      <c r="B11" s="113">
        <v>9</v>
      </c>
      <c r="C11" s="69">
        <v>319404.44424649014</v>
      </c>
      <c r="D11" s="69">
        <v>21251.80329463337</v>
      </c>
      <c r="E11" s="69">
        <v>7503.2634965371062</v>
      </c>
      <c r="F11" s="69">
        <v>13748.539798096266</v>
      </c>
      <c r="G11" s="69">
        <v>529545.76245417073</v>
      </c>
      <c r="H11" s="69">
        <v>7943.1864368125607</v>
      </c>
      <c r="K11" s="69">
        <v>2647.7288125</v>
      </c>
      <c r="L11" s="69">
        <v>10590.91525</v>
      </c>
      <c r="M11" s="69">
        <v>1853.4101687499999</v>
      </c>
      <c r="N11" s="69">
        <v>529.54576249999991</v>
      </c>
      <c r="O11" s="69">
        <v>397.15932187499999</v>
      </c>
    </row>
    <row r="12" spans="2:15" x14ac:dyDescent="0.25">
      <c r="B12" s="113">
        <v>10</v>
      </c>
      <c r="C12" s="69">
        <v>311576.0064451436</v>
      </c>
      <c r="D12" s="69">
        <v>21251.80329463337</v>
      </c>
      <c r="E12" s="69">
        <v>7828.4378013463356</v>
      </c>
      <c r="F12" s="69">
        <v>13423.365493287034</v>
      </c>
      <c r="G12" s="69">
        <v>544108.27092166047</v>
      </c>
      <c r="H12" s="69">
        <v>8161.6240638249064</v>
      </c>
      <c r="K12" s="69">
        <v>2720.5413545000001</v>
      </c>
      <c r="L12" s="69">
        <v>10882.165418</v>
      </c>
      <c r="M12" s="69">
        <v>1904.37894815</v>
      </c>
      <c r="N12" s="69">
        <v>544.10827089999998</v>
      </c>
      <c r="O12" s="69">
        <v>408.08120317499998</v>
      </c>
    </row>
    <row r="13" spans="2:15" x14ac:dyDescent="0.25">
      <c r="B13" s="113">
        <v>11</v>
      </c>
      <c r="C13" s="69">
        <v>303408.30202721484</v>
      </c>
      <c r="D13" s="69">
        <v>21251.80329463337</v>
      </c>
      <c r="E13" s="69">
        <v>8167.704417928564</v>
      </c>
      <c r="F13" s="69">
        <v>13084.098876704806</v>
      </c>
      <c r="G13" s="69">
        <v>559071.24837200623</v>
      </c>
      <c r="H13" s="69">
        <v>8386.0687255800931</v>
      </c>
      <c r="K13" s="69">
        <v>2795.3562420000003</v>
      </c>
      <c r="L13" s="69">
        <v>11181.424968000001</v>
      </c>
      <c r="M13" s="69">
        <v>1956.7493694000002</v>
      </c>
      <c r="N13" s="69">
        <v>559.07124840000006</v>
      </c>
      <c r="O13" s="69">
        <v>419.30343630000004</v>
      </c>
    </row>
    <row r="14" spans="2:15" x14ac:dyDescent="0.25">
      <c r="B14" s="113">
        <v>12</v>
      </c>
      <c r="C14" s="69">
        <v>294886.62795232097</v>
      </c>
      <c r="D14" s="69">
        <v>21251.80329463337</v>
      </c>
      <c r="E14" s="69">
        <v>8521.6740748935554</v>
      </c>
      <c r="F14" s="69">
        <v>12730.129219739814</v>
      </c>
      <c r="G14" s="69">
        <v>574445.70770223648</v>
      </c>
      <c r="H14" s="69">
        <v>8616.6856155335463</v>
      </c>
      <c r="K14" s="69">
        <v>2872.2285385</v>
      </c>
      <c r="L14" s="69">
        <v>11488.914154</v>
      </c>
      <c r="M14" s="69">
        <v>2010.5599769500002</v>
      </c>
      <c r="N14" s="69">
        <v>574.44570770000007</v>
      </c>
      <c r="O14" s="69">
        <v>430.83428077500002</v>
      </c>
    </row>
    <row r="15" spans="2:15" x14ac:dyDescent="0.25">
      <c r="B15" s="113">
        <v>13</v>
      </c>
      <c r="C15" s="69">
        <v>285995.6439838864</v>
      </c>
      <c r="D15" s="69">
        <v>21251.80329463337</v>
      </c>
      <c r="E15" s="69">
        <v>8890.9839684343096</v>
      </c>
      <c r="F15" s="69">
        <v>12360.819326199062</v>
      </c>
      <c r="G15" s="69">
        <v>590242.96466404793</v>
      </c>
      <c r="H15" s="69">
        <v>8853.6444699607182</v>
      </c>
      <c r="K15" s="69">
        <v>2951.2148235</v>
      </c>
      <c r="L15" s="69">
        <v>11804.859294</v>
      </c>
      <c r="M15" s="69">
        <v>2065.8503764500001</v>
      </c>
      <c r="N15" s="69">
        <v>590.24296470000002</v>
      </c>
      <c r="O15" s="69">
        <v>442.68222352500004</v>
      </c>
    </row>
    <row r="16" spans="2:15" x14ac:dyDescent="0.25">
      <c r="B16" s="113">
        <v>14</v>
      </c>
      <c r="C16" s="69">
        <v>276719.34507451445</v>
      </c>
      <c r="D16" s="69">
        <v>21251.80329463337</v>
      </c>
      <c r="E16" s="69">
        <v>9276.298909371666</v>
      </c>
      <c r="F16" s="69">
        <v>11975.504385261704</v>
      </c>
      <c r="G16" s="69">
        <v>606474.64619230933</v>
      </c>
      <c r="H16" s="69">
        <v>9097.1196928846402</v>
      </c>
      <c r="K16" s="69">
        <v>3032.373231</v>
      </c>
      <c r="L16" s="69">
        <v>12129.492924</v>
      </c>
      <c r="M16" s="69">
        <v>2122.6612617000001</v>
      </c>
      <c r="N16" s="69">
        <v>606.47464619999994</v>
      </c>
      <c r="O16" s="69">
        <v>454.85598464999998</v>
      </c>
    </row>
    <row r="17" spans="2:15" x14ac:dyDescent="0.25">
      <c r="B17" s="113">
        <v>15</v>
      </c>
      <c r="C17" s="69">
        <v>267041.03255460493</v>
      </c>
      <c r="D17" s="69">
        <v>21251.80329463337</v>
      </c>
      <c r="E17" s="69">
        <v>9678.3125199092246</v>
      </c>
      <c r="F17" s="69">
        <v>11573.490774724149</v>
      </c>
      <c r="G17" s="69">
        <v>623152.69896259787</v>
      </c>
      <c r="H17" s="69">
        <v>9347.2904844389686</v>
      </c>
      <c r="K17" s="69">
        <v>3115.7634950000001</v>
      </c>
      <c r="L17" s="69">
        <v>12463.053980000001</v>
      </c>
      <c r="M17" s="69">
        <v>2181.0344465000003</v>
      </c>
      <c r="N17" s="69">
        <v>623.15269899999998</v>
      </c>
      <c r="O17" s="69">
        <v>467.36452425000004</v>
      </c>
    </row>
    <row r="18" spans="2:15" x14ac:dyDescent="0.25">
      <c r="B18" s="113">
        <v>16</v>
      </c>
      <c r="C18" s="69">
        <v>256943.2840723517</v>
      </c>
      <c r="D18" s="69">
        <v>21251.80329463337</v>
      </c>
      <c r="E18" s="69">
        <v>10097.74848225286</v>
      </c>
      <c r="F18" s="69">
        <v>11154.054812380509</v>
      </c>
      <c r="G18" s="69">
        <v>640289.39818406943</v>
      </c>
      <c r="H18" s="69">
        <v>9604.3409727610415</v>
      </c>
      <c r="K18" s="69">
        <v>3201.4469910000003</v>
      </c>
      <c r="L18" s="69">
        <v>12805.787964000001</v>
      </c>
      <c r="M18" s="69">
        <v>2241.0128937000004</v>
      </c>
      <c r="N18" s="69">
        <v>640.28939820000005</v>
      </c>
      <c r="O18" s="69">
        <v>480.21704865000004</v>
      </c>
    </row>
    <row r="19" spans="2:15" x14ac:dyDescent="0.25">
      <c r="B19" s="113">
        <v>17</v>
      </c>
      <c r="C19" s="69">
        <v>246407.92223100882</v>
      </c>
      <c r="D19" s="69">
        <v>21251.80329463337</v>
      </c>
      <c r="E19" s="69">
        <v>10535.361841342599</v>
      </c>
      <c r="F19" s="69">
        <v>10716.44145329077</v>
      </c>
      <c r="G19" s="69">
        <v>657897.3566341314</v>
      </c>
      <c r="H19" s="69">
        <v>9868.46034951197</v>
      </c>
      <c r="K19" s="69">
        <v>3289.4867830000003</v>
      </c>
      <c r="L19" s="69">
        <v>13157.947132000001</v>
      </c>
      <c r="M19" s="69">
        <v>2302.6407481000001</v>
      </c>
      <c r="N19" s="69">
        <v>657.89735660000008</v>
      </c>
      <c r="O19" s="69">
        <v>493.42301745000003</v>
      </c>
    </row>
    <row r="20" spans="2:15" x14ac:dyDescent="0.25">
      <c r="B20" s="113">
        <v>18</v>
      </c>
      <c r="C20" s="69">
        <v>182228.60598264364</v>
      </c>
      <c r="D20" s="69">
        <v>13708.043354244712</v>
      </c>
      <c r="E20" s="69">
        <v>6281.9596173562359</v>
      </c>
      <c r="F20" s="69">
        <v>7426.0837368884786</v>
      </c>
      <c r="G20" s="69">
        <v>770625.00000000012</v>
      </c>
      <c r="H20" s="69">
        <v>11559.375000000002</v>
      </c>
      <c r="I20" s="69">
        <v>150000</v>
      </c>
      <c r="K20" s="69">
        <v>3853.125</v>
      </c>
      <c r="L20" s="69">
        <v>15412.5</v>
      </c>
      <c r="M20" s="69">
        <v>2697.1875</v>
      </c>
      <c r="N20" s="69">
        <v>770.625</v>
      </c>
      <c r="O20" s="69">
        <v>577.96875</v>
      </c>
    </row>
    <row r="21" spans="2:15" x14ac:dyDescent="0.25">
      <c r="B21" s="113">
        <v>19</v>
      </c>
      <c r="C21" s="69">
        <v>175690.70963791633</v>
      </c>
      <c r="D21" s="69">
        <v>13708.043354244712</v>
      </c>
      <c r="E21" s="69">
        <v>6537.8963447271453</v>
      </c>
      <c r="F21" s="69">
        <v>7170.14700951757</v>
      </c>
      <c r="G21" s="69">
        <v>791817.18750000012</v>
      </c>
      <c r="H21" s="69">
        <v>11877.257812500002</v>
      </c>
      <c r="K21" s="69">
        <v>3959.0859375</v>
      </c>
      <c r="L21" s="69">
        <v>15836.34375</v>
      </c>
      <c r="M21" s="69">
        <v>2771.3601562500003</v>
      </c>
      <c r="N21" s="69">
        <v>791.81718750000005</v>
      </c>
      <c r="O21" s="69">
        <v>593.86289062499998</v>
      </c>
    </row>
    <row r="22" spans="2:15" x14ac:dyDescent="0.25">
      <c r="B22" s="113">
        <v>20</v>
      </c>
      <c r="C22" s="69">
        <v>168886.4493086552</v>
      </c>
      <c r="D22" s="69">
        <v>13708.043354244712</v>
      </c>
      <c r="E22" s="69">
        <v>6804.2603292609892</v>
      </c>
      <c r="F22" s="69">
        <v>6903.7830249837261</v>
      </c>
      <c r="G22" s="69">
        <v>813592.16015625012</v>
      </c>
      <c r="H22" s="69">
        <v>12203.882402343752</v>
      </c>
      <c r="K22" s="69">
        <v>4067.9608010000002</v>
      </c>
      <c r="L22" s="69">
        <v>16271.843204000001</v>
      </c>
      <c r="M22" s="69">
        <v>2847.5725607000004</v>
      </c>
      <c r="N22" s="69">
        <v>813.59216020000008</v>
      </c>
      <c r="O22" s="69">
        <v>610.19412015</v>
      </c>
    </row>
    <row r="23" spans="2:15" x14ac:dyDescent="0.25">
      <c r="B23" s="113">
        <v>21</v>
      </c>
      <c r="C23" s="69">
        <v>161804.97291515203</v>
      </c>
      <c r="D23" s="69">
        <v>13708.043354244712</v>
      </c>
      <c r="E23" s="69">
        <v>7081.4763935030041</v>
      </c>
      <c r="F23" s="69">
        <v>6626.5669607417103</v>
      </c>
      <c r="G23" s="69">
        <v>835965.94456054713</v>
      </c>
      <c r="H23" s="69">
        <v>12539.489168408207</v>
      </c>
      <c r="K23" s="69">
        <v>4179.8297230000007</v>
      </c>
      <c r="L23" s="69">
        <v>16719.318892000003</v>
      </c>
      <c r="M23" s="69">
        <v>2925.8808061000004</v>
      </c>
      <c r="N23" s="69">
        <v>835.96594460000006</v>
      </c>
      <c r="O23" s="69">
        <v>626.97445845000004</v>
      </c>
    </row>
    <row r="24" spans="2:15" x14ac:dyDescent="0.25">
      <c r="B24" s="113">
        <v>22</v>
      </c>
      <c r="C24" s="69">
        <v>154434.98624722747</v>
      </c>
      <c r="D24" s="69">
        <v>13708.043354244712</v>
      </c>
      <c r="E24" s="69">
        <v>7369.9866679243896</v>
      </c>
      <c r="F24" s="69">
        <v>6338.0566863203239</v>
      </c>
      <c r="G24" s="69">
        <v>858955.00803596224</v>
      </c>
      <c r="H24" s="69">
        <v>12884.325120539434</v>
      </c>
      <c r="K24" s="69">
        <v>4294.7750400000004</v>
      </c>
      <c r="L24" s="69">
        <v>17179.100160000002</v>
      </c>
      <c r="M24" s="69">
        <v>3006.3425280000001</v>
      </c>
      <c r="N24" s="69">
        <v>858.95500800000002</v>
      </c>
      <c r="O24" s="69">
        <v>644.21625600000004</v>
      </c>
    </row>
    <row r="25" spans="2:15" x14ac:dyDescent="0.25">
      <c r="B25" s="113">
        <v>23</v>
      </c>
      <c r="C25" s="69">
        <v>146764.7349511534</v>
      </c>
      <c r="D25" s="69">
        <v>13708.043354244712</v>
      </c>
      <c r="E25" s="69">
        <v>7670.2512960739168</v>
      </c>
      <c r="F25" s="69">
        <v>6037.7920581707986</v>
      </c>
      <c r="G25" s="69">
        <v>882576.27075695118</v>
      </c>
      <c r="H25" s="69">
        <v>13238.644061354267</v>
      </c>
      <c r="K25" s="69">
        <v>4412.8813540000001</v>
      </c>
      <c r="L25" s="69">
        <v>17651.525416</v>
      </c>
      <c r="M25" s="69">
        <v>3089.0169478000003</v>
      </c>
      <c r="N25" s="69">
        <v>882.57627080000009</v>
      </c>
      <c r="O25" s="69">
        <v>661.93220310000004</v>
      </c>
    </row>
    <row r="26" spans="2:15" x14ac:dyDescent="0.25">
      <c r="B26" s="113">
        <v>24</v>
      </c>
      <c r="C26" s="69">
        <v>138781.98578269468</v>
      </c>
      <c r="D26" s="69">
        <v>13708.043354244712</v>
      </c>
      <c r="E26" s="69">
        <v>7982.7491684584902</v>
      </c>
      <c r="F26" s="69">
        <v>5725.2941857862243</v>
      </c>
      <c r="G26" s="69">
        <v>906847.11820276757</v>
      </c>
      <c r="H26" s="69">
        <v>13602.706773041513</v>
      </c>
      <c r="K26" s="69">
        <v>4534.2355910000006</v>
      </c>
      <c r="L26" s="69">
        <v>18136.942364000002</v>
      </c>
      <c r="M26" s="69">
        <v>3173.9649137000001</v>
      </c>
      <c r="N26" s="69">
        <v>906.84711820000007</v>
      </c>
      <c r="O26" s="69">
        <v>680.13533864999999</v>
      </c>
    </row>
    <row r="27" spans="2:15" x14ac:dyDescent="0.25">
      <c r="B27" s="113">
        <v>25</v>
      </c>
      <c r="C27" s="69">
        <v>130474.00709637135</v>
      </c>
      <c r="D27" s="69">
        <v>13708.043354244712</v>
      </c>
      <c r="E27" s="69">
        <v>8307.9786863231639</v>
      </c>
      <c r="F27" s="69">
        <v>5400.0646679215488</v>
      </c>
      <c r="G27" s="69">
        <v>931785.41395334364</v>
      </c>
      <c r="H27" s="69">
        <v>13976.781209300154</v>
      </c>
      <c r="K27" s="69">
        <v>4658.9270699999997</v>
      </c>
      <c r="L27" s="69">
        <v>18635.708279999999</v>
      </c>
      <c r="M27" s="69">
        <v>3261.2489489999998</v>
      </c>
      <c r="N27" s="69">
        <v>931.78541400000006</v>
      </c>
      <c r="O27" s="69">
        <v>698.83906049999996</v>
      </c>
    </row>
    <row r="28" spans="2:15" x14ac:dyDescent="0.25">
      <c r="B28" s="113">
        <v>26</v>
      </c>
      <c r="C28" s="69">
        <v>121827.54853982243</v>
      </c>
      <c r="D28" s="69">
        <v>13708.043354244712</v>
      </c>
      <c r="E28" s="69">
        <v>8646.458556548705</v>
      </c>
      <c r="F28" s="69">
        <v>5061.5847976960076</v>
      </c>
      <c r="G28" s="69">
        <v>957409.51283706073</v>
      </c>
      <c r="H28" s="69">
        <v>14361.14269255591</v>
      </c>
      <c r="K28" s="69">
        <v>4787.0475640000004</v>
      </c>
      <c r="L28" s="69">
        <v>19148.190256000002</v>
      </c>
      <c r="M28" s="69">
        <v>3350.9332948000001</v>
      </c>
      <c r="N28" s="69">
        <v>957.40951280000002</v>
      </c>
      <c r="O28" s="69">
        <v>718.05713460000004</v>
      </c>
    </row>
    <row r="29" spans="2:15" x14ac:dyDescent="0.25">
      <c r="B29" s="113">
        <v>27</v>
      </c>
      <c r="C29" s="69">
        <v>112828.8199208877</v>
      </c>
      <c r="D29" s="69">
        <v>13708.043354244712</v>
      </c>
      <c r="E29" s="69">
        <v>8998.728618934525</v>
      </c>
      <c r="F29" s="69">
        <v>4709.3147353101886</v>
      </c>
      <c r="G29" s="69">
        <v>983738.27444007993</v>
      </c>
      <c r="H29" s="69">
        <v>14756.074116601198</v>
      </c>
      <c r="K29" s="69">
        <v>4918.6913720000002</v>
      </c>
      <c r="L29" s="69">
        <v>19674.765488000001</v>
      </c>
      <c r="M29" s="69">
        <v>3443.0839604000003</v>
      </c>
      <c r="N29" s="69">
        <v>983.73827440000002</v>
      </c>
      <c r="O29" s="69">
        <v>737.80370579999999</v>
      </c>
    </row>
    <row r="30" spans="2:15" x14ac:dyDescent="0.25">
      <c r="B30" s="113">
        <v>28</v>
      </c>
      <c r="C30" s="69">
        <v>103463.46921370109</v>
      </c>
      <c r="D30" s="69">
        <v>13708.043354244712</v>
      </c>
      <c r="E30" s="69">
        <v>9365.3507071863933</v>
      </c>
      <c r="F30" s="69">
        <v>4342.6926470583203</v>
      </c>
      <c r="G30" s="69">
        <v>1010791.0769871823</v>
      </c>
      <c r="H30" s="69">
        <v>15161.866154807733</v>
      </c>
      <c r="K30" s="69">
        <v>5053.9553850000002</v>
      </c>
      <c r="L30" s="69">
        <v>20215.821540000001</v>
      </c>
      <c r="M30" s="69">
        <v>3537.7687695000004</v>
      </c>
      <c r="N30" s="69">
        <v>1010.7910770000001</v>
      </c>
      <c r="O30" s="69">
        <v>758.09330775000001</v>
      </c>
    </row>
    <row r="31" spans="2:15" x14ac:dyDescent="0.25">
      <c r="B31" s="113">
        <v>29</v>
      </c>
      <c r="C31" s="69">
        <v>93716.55966871875</v>
      </c>
      <c r="D31" s="69">
        <v>13708.043354244712</v>
      </c>
      <c r="E31" s="69">
        <v>9746.9095449821198</v>
      </c>
      <c r="F31" s="69">
        <v>3961.1338092625938</v>
      </c>
      <c r="G31" s="69">
        <v>1038587.8316043298</v>
      </c>
      <c r="H31" s="69">
        <v>15578.817474064947</v>
      </c>
      <c r="K31" s="69">
        <v>5192.9391580000001</v>
      </c>
      <c r="L31" s="69">
        <v>20771.756632000001</v>
      </c>
      <c r="M31" s="69">
        <v>3635.0574106000004</v>
      </c>
      <c r="N31" s="69">
        <v>1038.5878316000001</v>
      </c>
      <c r="O31" s="69">
        <v>778.9408737</v>
      </c>
    </row>
    <row r="32" spans="2:15" x14ac:dyDescent="0.25">
      <c r="B32" s="113">
        <v>30</v>
      </c>
      <c r="C32" s="69">
        <v>83572.545990174185</v>
      </c>
      <c r="D32" s="69">
        <v>13708.043354244712</v>
      </c>
      <c r="E32" s="69">
        <v>10144.013678544325</v>
      </c>
      <c r="F32" s="69">
        <v>3564.0296757003885</v>
      </c>
      <c r="G32" s="69">
        <v>1067148.9969734491</v>
      </c>
      <c r="H32" s="69">
        <v>16007.234954601736</v>
      </c>
      <c r="K32" s="69">
        <v>5335.7449850000003</v>
      </c>
      <c r="L32" s="69">
        <v>21342.979940000001</v>
      </c>
      <c r="M32" s="69">
        <v>3735.0214894999999</v>
      </c>
      <c r="N32" s="69">
        <v>1067.148997</v>
      </c>
      <c r="O32" s="69">
        <v>800.36174774999995</v>
      </c>
    </row>
    <row r="33" spans="2:15" x14ac:dyDescent="0.25">
      <c r="B33" s="113">
        <v>31</v>
      </c>
      <c r="C33" s="69">
        <v>73015.249542966267</v>
      </c>
      <c r="D33" s="69">
        <v>13708.043354244712</v>
      </c>
      <c r="E33" s="69">
        <v>10557.29644720768</v>
      </c>
      <c r="F33" s="69">
        <v>3150.7469070370325</v>
      </c>
      <c r="G33" s="69">
        <v>1096495.5943902191</v>
      </c>
      <c r="H33" s="69">
        <v>16447.433915853286</v>
      </c>
      <c r="K33" s="69">
        <v>5482.4779720000006</v>
      </c>
      <c r="L33" s="69">
        <v>21929.911888000002</v>
      </c>
      <c r="M33" s="69">
        <v>3837.7345804000001</v>
      </c>
      <c r="N33" s="69">
        <v>1096.4955944000001</v>
      </c>
      <c r="O33" s="69">
        <v>822.37169580000011</v>
      </c>
    </row>
    <row r="34" spans="2:15" x14ac:dyDescent="0.25">
      <c r="B34" s="113">
        <v>32</v>
      </c>
      <c r="C34" s="69">
        <v>62027.832549437466</v>
      </c>
      <c r="D34" s="69">
        <v>13708.043354244712</v>
      </c>
      <c r="E34" s="69">
        <v>10987.416993528548</v>
      </c>
      <c r="F34" s="69">
        <v>2720.6263607161682</v>
      </c>
      <c r="G34" s="69">
        <v>1126649.2232359501</v>
      </c>
      <c r="H34" s="69">
        <v>16899.738348539249</v>
      </c>
      <c r="K34" s="69">
        <v>5633.2461159999993</v>
      </c>
      <c r="L34" s="69">
        <v>22532.984463999997</v>
      </c>
      <c r="M34" s="69">
        <v>3943.2722811999997</v>
      </c>
      <c r="N34" s="69">
        <v>1126.6492231999998</v>
      </c>
      <c r="O34" s="69">
        <v>844.98691739999992</v>
      </c>
    </row>
    <row r="35" spans="2:15" x14ac:dyDescent="0.25">
      <c r="B35" s="113">
        <v>33</v>
      </c>
      <c r="C35" s="69">
        <v>1265138.8036758972</v>
      </c>
      <c r="D35" s="69">
        <v>112599.46121265384</v>
      </c>
      <c r="E35" s="69">
        <v>70239.805624103392</v>
      </c>
      <c r="F35" s="69">
        <v>42359.65558855042</v>
      </c>
      <c r="G35" s="69">
        <v>3082500.0000000005</v>
      </c>
      <c r="H35" s="69">
        <v>46237.500000000007</v>
      </c>
      <c r="I35" s="69">
        <v>600000</v>
      </c>
      <c r="K35" s="69">
        <v>15412.5</v>
      </c>
      <c r="L35" s="69">
        <v>61650</v>
      </c>
      <c r="M35" s="69">
        <v>10788.75</v>
      </c>
      <c r="N35" s="69">
        <v>3082.5</v>
      </c>
      <c r="O35" s="69">
        <v>2311.875</v>
      </c>
    </row>
    <row r="36" spans="2:15" x14ac:dyDescent="0.25">
      <c r="B36" s="113">
        <v>34</v>
      </c>
      <c r="C36" s="69">
        <v>1192581.8913943898</v>
      </c>
      <c r="D36" s="69">
        <v>112599.46121265384</v>
      </c>
      <c r="E36" s="69">
        <v>72556.912281507626</v>
      </c>
      <c r="F36" s="69">
        <v>40042.548931146179</v>
      </c>
      <c r="G36" s="69">
        <v>3167268.7500000005</v>
      </c>
      <c r="H36" s="69">
        <v>47509.031250000007</v>
      </c>
      <c r="K36" s="69">
        <v>15836.34375</v>
      </c>
      <c r="L36" s="69">
        <v>63345.375</v>
      </c>
      <c r="M36" s="69">
        <v>11085.440625000001</v>
      </c>
      <c r="N36" s="69">
        <v>3167.2687500000002</v>
      </c>
      <c r="O36" s="69">
        <v>2375.4515624999999</v>
      </c>
    </row>
    <row r="37" spans="2:15" x14ac:dyDescent="0.25">
      <c r="B37" s="113">
        <v>35</v>
      </c>
      <c r="C37" s="69">
        <v>1117631.4345551445</v>
      </c>
      <c r="D37" s="69">
        <v>112599.46121265384</v>
      </c>
      <c r="E37" s="69">
        <v>74950.456839246064</v>
      </c>
      <c r="F37" s="69">
        <v>37649.004373407755</v>
      </c>
      <c r="G37" s="69">
        <v>3254368.6406250005</v>
      </c>
      <c r="H37" s="69">
        <v>48815.529609375008</v>
      </c>
      <c r="K37" s="69">
        <v>16271.843203</v>
      </c>
      <c r="L37" s="69">
        <v>65087.372812000001</v>
      </c>
      <c r="M37" s="69">
        <v>11390.2902421</v>
      </c>
      <c r="N37" s="69">
        <v>3254.3686406000002</v>
      </c>
      <c r="O37" s="69">
        <v>2440.7764804500002</v>
      </c>
    </row>
    <row r="38" spans="2:15" x14ac:dyDescent="0.25">
      <c r="B38" s="113">
        <v>36</v>
      </c>
      <c r="C38" s="69">
        <v>1040208.4736852484</v>
      </c>
      <c r="D38" s="69">
        <v>112599.46121265384</v>
      </c>
      <c r="E38" s="69">
        <v>77422.960869896589</v>
      </c>
      <c r="F38" s="69">
        <v>35176.500342757216</v>
      </c>
      <c r="G38" s="69">
        <v>3343863.7782421885</v>
      </c>
      <c r="H38" s="69">
        <v>50157.956673632827</v>
      </c>
      <c r="K38" s="69">
        <v>16719.318890999999</v>
      </c>
      <c r="L38" s="69">
        <v>66877.275563999996</v>
      </c>
      <c r="M38" s="69">
        <v>11703.5232237</v>
      </c>
      <c r="N38" s="69">
        <v>3343.8637782000001</v>
      </c>
      <c r="O38" s="69">
        <v>2507.8978336499999</v>
      </c>
    </row>
  </sheetData>
  <mergeCells count="2">
    <mergeCell ref="B1:I1"/>
    <mergeCell ref="K1:O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F724-8AEF-49C0-A263-7FBB9DD4F254}">
  <sheetPr codeName="Sheet8"/>
  <dimension ref="B1:M38"/>
  <sheetViews>
    <sheetView workbookViewId="0">
      <selection activeCell="J39" sqref="J39"/>
    </sheetView>
  </sheetViews>
  <sheetFormatPr defaultRowHeight="13.2" x14ac:dyDescent="0.25"/>
  <cols>
    <col min="2" max="2" width="9.109375" style="114"/>
    <col min="3" max="3" width="11.33203125" style="69" bestFit="1" customWidth="1"/>
    <col min="4" max="6" width="9.33203125" style="69" bestFit="1" customWidth="1"/>
    <col min="7" max="7" width="11.33203125" style="69" bestFit="1" customWidth="1"/>
    <col min="8" max="8" width="9.109375" style="69"/>
    <col min="10" max="12" width="9.109375" style="69"/>
    <col min="13" max="13" width="8.5546875" style="69" customWidth="1"/>
  </cols>
  <sheetData>
    <row r="1" spans="2:13" ht="14.4" x14ac:dyDescent="0.3">
      <c r="B1" s="158" t="s">
        <v>117</v>
      </c>
      <c r="C1" s="158"/>
      <c r="D1" s="158"/>
      <c r="E1" s="158"/>
      <c r="F1" s="158"/>
      <c r="G1" s="158"/>
      <c r="H1" s="158"/>
      <c r="J1" s="158" t="s">
        <v>122</v>
      </c>
      <c r="K1" s="158"/>
      <c r="L1" s="158"/>
      <c r="M1" s="158"/>
    </row>
    <row r="2" spans="2:13" ht="14.4" x14ac:dyDescent="0.3">
      <c r="B2" s="72" t="s">
        <v>111</v>
      </c>
      <c r="C2" s="72" t="s">
        <v>112</v>
      </c>
      <c r="D2" s="72" t="s">
        <v>113</v>
      </c>
      <c r="E2" s="72" t="s">
        <v>115</v>
      </c>
      <c r="F2" s="72" t="s">
        <v>86</v>
      </c>
      <c r="G2" s="72" t="s">
        <v>114</v>
      </c>
      <c r="H2" s="72" t="s">
        <v>116</v>
      </c>
      <c r="J2" s="72" t="s">
        <v>123</v>
      </c>
      <c r="K2" s="72" t="s">
        <v>124</v>
      </c>
      <c r="L2" s="72" t="s">
        <v>125</v>
      </c>
      <c r="M2" s="72" t="s">
        <v>13</v>
      </c>
    </row>
    <row r="3" spans="2:13" x14ac:dyDescent="0.25">
      <c r="B3" s="114">
        <v>1</v>
      </c>
      <c r="C3" s="69">
        <v>14811.298767569653</v>
      </c>
      <c r="D3" s="69">
        <v>7553.1084022668219</v>
      </c>
      <c r="E3" s="69">
        <v>7197.4055796092834</v>
      </c>
      <c r="F3" s="69">
        <v>355.70282265753798</v>
      </c>
      <c r="G3" s="69">
        <v>26407.38</v>
      </c>
      <c r="J3" s="69">
        <v>3961.107</v>
      </c>
      <c r="K3" s="69">
        <v>660.18450000000007</v>
      </c>
      <c r="L3" s="69">
        <v>1200</v>
      </c>
      <c r="M3" s="69">
        <v>840</v>
      </c>
    </row>
    <row r="4" spans="2:13" x14ac:dyDescent="0.25">
      <c r="B4" s="114">
        <v>2</v>
      </c>
      <c r="C4" s="69">
        <v>7475.9453036177874</v>
      </c>
      <c r="D4" s="69">
        <v>7553.1084022668219</v>
      </c>
      <c r="E4" s="69">
        <v>7335.353463952144</v>
      </c>
      <c r="F4" s="69">
        <v>217.75493831467853</v>
      </c>
      <c r="G4" s="69">
        <v>22446.27</v>
      </c>
      <c r="J4" s="69">
        <v>3366.9405000000002</v>
      </c>
      <c r="K4" s="69">
        <v>561.15674999999999</v>
      </c>
      <c r="L4" s="69">
        <v>1200</v>
      </c>
      <c r="M4" s="69">
        <v>840</v>
      </c>
    </row>
    <row r="5" spans="2:13" x14ac:dyDescent="0.25">
      <c r="B5" s="114">
        <v>3</v>
      </c>
      <c r="C5" s="69">
        <v>0</v>
      </c>
      <c r="D5" s="69">
        <v>7553.1084022668219</v>
      </c>
      <c r="E5" s="69">
        <v>7475.9453036180976</v>
      </c>
      <c r="F5" s="69">
        <v>77.163098648725935</v>
      </c>
      <c r="G5" s="69">
        <v>19079.330000000002</v>
      </c>
      <c r="J5" s="69">
        <v>2861.8995</v>
      </c>
      <c r="K5" s="69">
        <v>476.98325000000006</v>
      </c>
      <c r="L5" s="69">
        <v>1200</v>
      </c>
      <c r="M5" s="69">
        <v>840</v>
      </c>
    </row>
    <row r="6" spans="2:13" x14ac:dyDescent="0.25">
      <c r="B6" s="114">
        <v>4</v>
      </c>
      <c r="G6" s="69">
        <v>16217.43</v>
      </c>
      <c r="J6" s="69">
        <v>2432.6145000000001</v>
      </c>
      <c r="K6" s="69">
        <v>405.43575000000004</v>
      </c>
      <c r="L6" s="69">
        <v>1200</v>
      </c>
      <c r="M6" s="69">
        <v>840</v>
      </c>
    </row>
    <row r="7" spans="2:13" x14ac:dyDescent="0.25">
      <c r="B7" s="114">
        <v>5</v>
      </c>
      <c r="G7" s="69">
        <v>13784.81</v>
      </c>
      <c r="J7" s="69">
        <v>2067.7214999999997</v>
      </c>
      <c r="K7" s="69">
        <v>344.62025</v>
      </c>
      <c r="L7" s="69">
        <v>1200</v>
      </c>
      <c r="M7" s="69">
        <v>840</v>
      </c>
    </row>
    <row r="8" spans="2:13" x14ac:dyDescent="0.25">
      <c r="B8" s="114">
        <v>6</v>
      </c>
      <c r="C8" s="69">
        <v>15141.018893657649</v>
      </c>
      <c r="D8" s="69">
        <v>3933.910626180636</v>
      </c>
      <c r="E8" s="69">
        <v>3608.9811063425109</v>
      </c>
      <c r="F8" s="69">
        <v>324.9295198381252</v>
      </c>
      <c r="G8" s="69">
        <v>27653.53</v>
      </c>
      <c r="H8" s="69">
        <v>6250</v>
      </c>
      <c r="J8" s="69">
        <v>4148.0294999999996</v>
      </c>
      <c r="K8" s="69">
        <v>691.33825000000002</v>
      </c>
      <c r="L8" s="69">
        <v>1200</v>
      </c>
      <c r="M8" s="69">
        <v>840</v>
      </c>
    </row>
    <row r="9" spans="2:13" x14ac:dyDescent="0.25">
      <c r="B9" s="114">
        <v>7</v>
      </c>
      <c r="C9" s="69">
        <v>30395.913430790541</v>
      </c>
      <c r="D9" s="69">
        <v>7897.4082046712037</v>
      </c>
      <c r="E9" s="69">
        <v>7245.105369209773</v>
      </c>
      <c r="F9" s="69">
        <v>652.30283546143164</v>
      </c>
      <c r="G9" s="69">
        <v>43562.5</v>
      </c>
      <c r="H9" s="69">
        <v>7500</v>
      </c>
      <c r="J9" s="69">
        <v>6534.375</v>
      </c>
      <c r="K9" s="69">
        <v>1089.0625</v>
      </c>
      <c r="L9" s="69">
        <v>1200</v>
      </c>
      <c r="M9" s="69">
        <v>840</v>
      </c>
    </row>
    <row r="10" spans="2:13" x14ac:dyDescent="0.25">
      <c r="B10" s="114">
        <v>8</v>
      </c>
      <c r="C10" s="69">
        <v>23011.945947105389</v>
      </c>
      <c r="D10" s="69">
        <v>7897.4082046712037</v>
      </c>
      <c r="E10" s="69">
        <v>7383.967483685451</v>
      </c>
      <c r="F10" s="69">
        <v>513.44072098575532</v>
      </c>
      <c r="G10" s="69">
        <v>37028.129999999997</v>
      </c>
      <c r="J10" s="69">
        <v>5554.2194999999992</v>
      </c>
      <c r="K10" s="69">
        <v>925.70325000000003</v>
      </c>
      <c r="L10" s="69">
        <v>1200</v>
      </c>
      <c r="M10" s="69">
        <v>840</v>
      </c>
    </row>
    <row r="11" spans="2:13" x14ac:dyDescent="0.25">
      <c r="B11" s="114">
        <v>9</v>
      </c>
      <c r="C11" s="69">
        <v>15486.454871180726</v>
      </c>
      <c r="D11" s="69">
        <v>7897.4082046712037</v>
      </c>
      <c r="E11" s="69">
        <v>7525.4910759249424</v>
      </c>
      <c r="F11" s="69">
        <v>371.91712874626251</v>
      </c>
      <c r="G11" s="69">
        <v>31473.91</v>
      </c>
      <c r="J11" s="69">
        <v>4721.0864999999994</v>
      </c>
      <c r="K11" s="69">
        <v>786.84775000000002</v>
      </c>
      <c r="L11" s="69">
        <v>1200</v>
      </c>
      <c r="M11" s="69">
        <v>840</v>
      </c>
    </row>
    <row r="12" spans="2:13" x14ac:dyDescent="0.25">
      <c r="B12" s="114">
        <v>10</v>
      </c>
      <c r="C12" s="69">
        <v>7816.7277144791351</v>
      </c>
      <c r="D12" s="69">
        <v>7897.4082046712037</v>
      </c>
      <c r="E12" s="69">
        <v>7669.7271567018815</v>
      </c>
      <c r="F12" s="69">
        <v>227.68104796932374</v>
      </c>
      <c r="G12" s="69">
        <v>26752.82</v>
      </c>
      <c r="J12" s="69">
        <v>4012.9229999999998</v>
      </c>
      <c r="K12" s="69">
        <v>668.82050000000004</v>
      </c>
      <c r="L12" s="69">
        <v>1200</v>
      </c>
      <c r="M12" s="69">
        <v>840</v>
      </c>
    </row>
    <row r="13" spans="2:13" x14ac:dyDescent="0.25">
      <c r="B13" s="114">
        <v>11</v>
      </c>
      <c r="C13" s="69">
        <v>0</v>
      </c>
      <c r="D13" s="69">
        <v>7897.4082046712037</v>
      </c>
      <c r="E13" s="69">
        <v>7816.7277144794571</v>
      </c>
      <c r="F13" s="69">
        <v>80.680490191748547</v>
      </c>
      <c r="G13" s="69">
        <v>22739.9</v>
      </c>
      <c r="J13" s="69">
        <v>3410.9850000000001</v>
      </c>
      <c r="K13" s="69">
        <v>568.49750000000006</v>
      </c>
      <c r="L13" s="69">
        <v>1200</v>
      </c>
      <c r="M13" s="69">
        <v>840</v>
      </c>
    </row>
    <row r="14" spans="2:13" x14ac:dyDescent="0.25">
      <c r="B14" s="114">
        <v>12</v>
      </c>
      <c r="G14" s="69">
        <v>19328.91</v>
      </c>
      <c r="J14" s="69">
        <v>2899.3364999999999</v>
      </c>
      <c r="K14" s="69">
        <v>483.22275000000002</v>
      </c>
      <c r="L14" s="69">
        <v>1200</v>
      </c>
      <c r="M14" s="69">
        <v>840</v>
      </c>
    </row>
    <row r="15" spans="2:13" x14ac:dyDescent="0.25">
      <c r="B15" s="114">
        <v>13</v>
      </c>
      <c r="G15" s="69">
        <v>16429.580000000002</v>
      </c>
      <c r="J15" s="69">
        <v>2464.4370000000004</v>
      </c>
      <c r="K15" s="69">
        <v>410.73950000000008</v>
      </c>
      <c r="L15" s="69">
        <v>1200</v>
      </c>
      <c r="M15" s="69">
        <v>840</v>
      </c>
    </row>
    <row r="16" spans="2:13" x14ac:dyDescent="0.25">
      <c r="B16" s="114">
        <v>14</v>
      </c>
      <c r="C16" s="69">
        <v>18169.222672389176</v>
      </c>
      <c r="D16" s="69">
        <v>4720.6927514167637</v>
      </c>
      <c r="E16" s="69">
        <v>4330.7773276110129</v>
      </c>
      <c r="F16" s="69">
        <v>389.91542380575027</v>
      </c>
      <c r="G16" s="69">
        <v>33674.720000000001</v>
      </c>
      <c r="H16" s="69">
        <v>7500</v>
      </c>
      <c r="J16" s="69">
        <v>5051.2079999999996</v>
      </c>
      <c r="K16" s="69">
        <v>841.86800000000005</v>
      </c>
      <c r="L16" s="69">
        <v>1200</v>
      </c>
      <c r="M16" s="69">
        <v>840</v>
      </c>
    </row>
    <row r="17" spans="2:13" x14ac:dyDescent="0.25">
      <c r="B17" s="114">
        <v>15</v>
      </c>
      <c r="C17" s="69">
        <v>13755.44021698667</v>
      </c>
      <c r="D17" s="69">
        <v>4720.6927514167637</v>
      </c>
      <c r="E17" s="69">
        <v>4413.7824554026847</v>
      </c>
      <c r="F17" s="69">
        <v>306.91029601407848</v>
      </c>
      <c r="G17" s="69">
        <v>28623.51</v>
      </c>
      <c r="J17" s="69">
        <v>4293.5264999999999</v>
      </c>
      <c r="K17" s="69">
        <v>715.58775000000003</v>
      </c>
      <c r="L17" s="69">
        <v>1200</v>
      </c>
      <c r="M17" s="69">
        <v>840</v>
      </c>
    </row>
    <row r="18" spans="2:13" x14ac:dyDescent="0.25">
      <c r="B18" s="114">
        <v>16</v>
      </c>
      <c r="C18" s="69">
        <v>32305.233382255527</v>
      </c>
      <c r="D18" s="69">
        <v>8393.4840697500786</v>
      </c>
      <c r="E18" s="69">
        <v>7700.2068177448091</v>
      </c>
      <c r="F18" s="69">
        <v>693.27725200527084</v>
      </c>
      <c r="G18" s="69">
        <v>48173.75</v>
      </c>
      <c r="H18" s="69">
        <v>8750</v>
      </c>
      <c r="J18" s="69">
        <v>7226.0625</v>
      </c>
      <c r="K18" s="69">
        <v>1204.34375</v>
      </c>
      <c r="L18" s="69">
        <v>1200</v>
      </c>
      <c r="M18" s="69">
        <v>840</v>
      </c>
    </row>
    <row r="19" spans="2:13" x14ac:dyDescent="0.25">
      <c r="B19" s="114">
        <v>17</v>
      </c>
      <c r="C19" s="69">
        <v>24457.441823348228</v>
      </c>
      <c r="D19" s="69">
        <v>8393.4840697500786</v>
      </c>
      <c r="E19" s="69">
        <v>7847.7915589076138</v>
      </c>
      <c r="F19" s="69">
        <v>545.69251084246741</v>
      </c>
      <c r="G19" s="69">
        <v>40947.69</v>
      </c>
      <c r="J19" s="69">
        <v>6142.1535000000003</v>
      </c>
      <c r="K19" s="69">
        <v>1023.6922500000001</v>
      </c>
      <c r="L19" s="69">
        <v>1200</v>
      </c>
      <c r="M19" s="69">
        <v>840</v>
      </c>
    </row>
    <row r="20" spans="2:13" x14ac:dyDescent="0.25">
      <c r="B20" s="114">
        <v>18</v>
      </c>
      <c r="C20" s="69">
        <v>16459.236864731705</v>
      </c>
      <c r="D20" s="69">
        <v>8393.4840697500786</v>
      </c>
      <c r="E20" s="69">
        <v>7998.2049586168196</v>
      </c>
      <c r="F20" s="69">
        <v>395.27911113325933</v>
      </c>
      <c r="G20" s="69">
        <v>34805.53</v>
      </c>
      <c r="J20" s="69">
        <v>5220.8294999999998</v>
      </c>
      <c r="K20" s="69">
        <v>870.13824999999997</v>
      </c>
      <c r="L20" s="69">
        <v>1200</v>
      </c>
      <c r="M20" s="69">
        <v>840</v>
      </c>
    </row>
    <row r="21" spans="2:13" x14ac:dyDescent="0.25">
      <c r="B21" s="114">
        <v>19</v>
      </c>
      <c r="C21" s="69">
        <v>8307.7356328431179</v>
      </c>
      <c r="D21" s="69">
        <v>8393.4840697500786</v>
      </c>
      <c r="E21" s="69">
        <v>8151.5012318888967</v>
      </c>
      <c r="F21" s="69">
        <v>241.98283786118222</v>
      </c>
      <c r="G21" s="69">
        <v>29584.7</v>
      </c>
      <c r="J21" s="69">
        <v>4437.7049999999999</v>
      </c>
      <c r="K21" s="69">
        <v>739.61750000000006</v>
      </c>
      <c r="L21" s="69">
        <v>1200</v>
      </c>
      <c r="M21" s="69">
        <v>840</v>
      </c>
    </row>
    <row r="22" spans="2:13" x14ac:dyDescent="0.25">
      <c r="B22" s="114">
        <v>20</v>
      </c>
      <c r="C22" s="69">
        <v>0</v>
      </c>
      <c r="D22" s="69">
        <v>8393.4840697500786</v>
      </c>
      <c r="E22" s="69">
        <v>8307.7356328434598</v>
      </c>
      <c r="F22" s="69">
        <v>85.748436906619602</v>
      </c>
      <c r="G22" s="69">
        <v>25147</v>
      </c>
      <c r="J22" s="69">
        <v>3772.0499999999997</v>
      </c>
      <c r="K22" s="69">
        <v>628.67500000000007</v>
      </c>
      <c r="L22" s="69">
        <v>1200</v>
      </c>
      <c r="M22" s="69">
        <v>840</v>
      </c>
    </row>
    <row r="23" spans="2:13" x14ac:dyDescent="0.25">
      <c r="B23" s="114">
        <v>21</v>
      </c>
      <c r="C23" s="69">
        <v>13626.917004291883</v>
      </c>
      <c r="D23" s="69">
        <v>3540.5195635625719</v>
      </c>
      <c r="E23" s="69">
        <v>3248.0829957082601</v>
      </c>
      <c r="F23" s="69">
        <v>292.43656785431273</v>
      </c>
      <c r="G23" s="69">
        <v>40499.949999999997</v>
      </c>
      <c r="H23" s="69">
        <v>5625</v>
      </c>
      <c r="J23" s="69">
        <v>6074.9924999999994</v>
      </c>
      <c r="K23" s="69">
        <v>1012.49875</v>
      </c>
      <c r="L23" s="69">
        <v>1200</v>
      </c>
      <c r="M23" s="69">
        <v>840</v>
      </c>
    </row>
    <row r="24" spans="2:13" x14ac:dyDescent="0.25">
      <c r="B24" s="114">
        <v>22</v>
      </c>
      <c r="C24" s="69">
        <v>35229.65197701515</v>
      </c>
      <c r="D24" s="69">
        <v>9153.300926602702</v>
      </c>
      <c r="E24" s="69">
        <v>8397.2650229852206</v>
      </c>
      <c r="F24" s="69">
        <v>756.03590361747968</v>
      </c>
      <c r="G24" s="69">
        <v>61476.45</v>
      </c>
      <c r="H24" s="69">
        <v>10000</v>
      </c>
      <c r="J24" s="69">
        <v>9221.4674999999988</v>
      </c>
      <c r="K24" s="69">
        <v>1536.9112500000001</v>
      </c>
      <c r="L24" s="69">
        <v>1200</v>
      </c>
      <c r="M24" s="69">
        <v>840</v>
      </c>
    </row>
    <row r="25" spans="2:13" x14ac:dyDescent="0.25">
      <c r="B25" s="114">
        <v>23</v>
      </c>
      <c r="C25" s="69">
        <v>42075.601086904368</v>
      </c>
      <c r="D25" s="69">
        <v>10932.002356066354</v>
      </c>
      <c r="E25" s="69">
        <v>10029.050913096084</v>
      </c>
      <c r="F25" s="69">
        <v>902.95144297027264</v>
      </c>
      <c r="G25" s="69">
        <v>71379.98</v>
      </c>
      <c r="H25" s="69">
        <v>5625</v>
      </c>
      <c r="J25" s="69">
        <v>10706.996999999999</v>
      </c>
      <c r="K25" s="69">
        <v>1784.4994999999999</v>
      </c>
      <c r="L25" s="69">
        <v>1200</v>
      </c>
      <c r="M25" s="69">
        <v>840</v>
      </c>
    </row>
    <row r="26" spans="2:13" x14ac:dyDescent="0.25">
      <c r="B26" s="114">
        <v>24</v>
      </c>
      <c r="C26" s="69">
        <v>31854.330027239772</v>
      </c>
      <c r="D26" s="69">
        <v>10932.002356066354</v>
      </c>
      <c r="E26" s="69">
        <v>10221.271059664998</v>
      </c>
      <c r="F26" s="69">
        <v>710.73129640135767</v>
      </c>
      <c r="G26" s="69">
        <v>60672.98</v>
      </c>
      <c r="J26" s="69">
        <v>9100.9470000000001</v>
      </c>
      <c r="K26" s="69">
        <v>1516.8245000000002</v>
      </c>
      <c r="L26" s="69">
        <v>1200</v>
      </c>
      <c r="M26" s="69">
        <v>840</v>
      </c>
    </row>
    <row r="27" spans="2:13" x14ac:dyDescent="0.25">
      <c r="B27" s="114">
        <v>25</v>
      </c>
      <c r="C27" s="69">
        <v>49948.670970593972</v>
      </c>
      <c r="D27" s="69">
        <v>12977.568344302652</v>
      </c>
      <c r="E27" s="69">
        <v>11905.659129406553</v>
      </c>
      <c r="F27" s="69">
        <v>1071.909214896101</v>
      </c>
      <c r="G27" s="69">
        <v>78681.429999999993</v>
      </c>
      <c r="H27" s="69">
        <v>10000</v>
      </c>
      <c r="J27" s="69">
        <v>11802.214499999998</v>
      </c>
      <c r="K27" s="69">
        <v>1967.03575</v>
      </c>
      <c r="L27" s="69">
        <v>1200</v>
      </c>
      <c r="M27" s="69">
        <v>840</v>
      </c>
    </row>
    <row r="28" spans="2:13" x14ac:dyDescent="0.25">
      <c r="B28" s="114">
        <v>26</v>
      </c>
      <c r="C28" s="69">
        <v>37814.823993435959</v>
      </c>
      <c r="D28" s="69">
        <v>12977.568344302652</v>
      </c>
      <c r="E28" s="69">
        <v>12133.846977158497</v>
      </c>
      <c r="F28" s="69">
        <v>843.72136714415683</v>
      </c>
      <c r="G28" s="69">
        <v>66879.22</v>
      </c>
      <c r="J28" s="69">
        <v>10031.883</v>
      </c>
      <c r="K28" s="69">
        <v>1671.9805000000001</v>
      </c>
      <c r="L28" s="69">
        <v>1200</v>
      </c>
      <c r="M28" s="69">
        <v>840</v>
      </c>
    </row>
    <row r="29" spans="2:13" x14ac:dyDescent="0.25">
      <c r="B29" s="114">
        <v>27</v>
      </c>
      <c r="C29" s="69">
        <v>25448.415643860459</v>
      </c>
      <c r="D29" s="69">
        <v>12977.568344302652</v>
      </c>
      <c r="E29" s="69">
        <v>12366.408349575959</v>
      </c>
      <c r="F29" s="69">
        <v>611.15999472669751</v>
      </c>
      <c r="G29" s="69">
        <v>56847.34</v>
      </c>
      <c r="J29" s="69">
        <v>8527.1009999999987</v>
      </c>
      <c r="K29" s="69">
        <v>1421.1835000000001</v>
      </c>
      <c r="L29" s="69">
        <v>1200</v>
      </c>
      <c r="M29" s="69">
        <v>840</v>
      </c>
    </row>
    <row r="30" spans="2:13" x14ac:dyDescent="0.25">
      <c r="B30" s="114">
        <v>28</v>
      </c>
      <c r="C30" s="69">
        <v>12844.988572764427</v>
      </c>
      <c r="D30" s="69">
        <v>12977.568344302652</v>
      </c>
      <c r="E30" s="69">
        <v>12603.427071096508</v>
      </c>
      <c r="F30" s="69">
        <v>374.1412732061462</v>
      </c>
      <c r="G30" s="69">
        <v>42189.2</v>
      </c>
      <c r="J30" s="69">
        <v>6328.3799999999992</v>
      </c>
      <c r="K30" s="69">
        <v>1054.73</v>
      </c>
      <c r="L30" s="69">
        <v>1200</v>
      </c>
      <c r="M30" s="69">
        <v>840</v>
      </c>
    </row>
    <row r="31" spans="2:13" x14ac:dyDescent="0.25">
      <c r="B31" s="114">
        <v>29</v>
      </c>
      <c r="C31" s="69">
        <v>0</v>
      </c>
      <c r="D31" s="69">
        <v>12977.568344302652</v>
      </c>
      <c r="E31" s="69">
        <v>12844.988572764958</v>
      </c>
      <c r="F31" s="69">
        <v>132.57977153769886</v>
      </c>
      <c r="G31" s="69">
        <v>35860.82</v>
      </c>
      <c r="J31" s="69">
        <v>5379.1229999999996</v>
      </c>
      <c r="K31" s="69">
        <v>896.52050000000008</v>
      </c>
      <c r="L31" s="69">
        <v>1200</v>
      </c>
      <c r="M31" s="69">
        <v>840</v>
      </c>
    </row>
    <row r="32" spans="2:13" x14ac:dyDescent="0.25">
      <c r="B32" s="114">
        <v>30</v>
      </c>
      <c r="G32" s="69">
        <v>24350.66</v>
      </c>
      <c r="J32" s="69">
        <v>3652.5989999999997</v>
      </c>
      <c r="K32" s="69">
        <v>608.76650000000006</v>
      </c>
      <c r="L32" s="69">
        <v>1200</v>
      </c>
      <c r="M32" s="69">
        <v>840</v>
      </c>
    </row>
    <row r="33" spans="2:13" x14ac:dyDescent="0.25">
      <c r="B33" s="114">
        <v>31</v>
      </c>
      <c r="C33" s="69">
        <v>27253.834008583766</v>
      </c>
      <c r="D33" s="69">
        <v>7081.0391271251438</v>
      </c>
      <c r="E33" s="69">
        <v>6496.1659914165202</v>
      </c>
      <c r="F33" s="69">
        <v>584.87313570862545</v>
      </c>
      <c r="G33" s="69">
        <v>51073.08</v>
      </c>
      <c r="H33" s="69">
        <v>11250</v>
      </c>
      <c r="J33" s="69">
        <v>7660.9619999999995</v>
      </c>
      <c r="K33" s="69">
        <v>1276.8270000000002</v>
      </c>
      <c r="L33" s="69">
        <v>1200</v>
      </c>
      <c r="M33" s="69">
        <v>840</v>
      </c>
    </row>
    <row r="34" spans="2:13" x14ac:dyDescent="0.25">
      <c r="B34" s="114">
        <v>32</v>
      </c>
      <c r="C34" s="69">
        <v>20633.160325480003</v>
      </c>
      <c r="D34" s="69">
        <v>7081.0391271251438</v>
      </c>
      <c r="E34" s="69">
        <v>6620.673683104028</v>
      </c>
      <c r="F34" s="69">
        <v>460.36544402111781</v>
      </c>
      <c r="G34" s="69">
        <v>43412.12</v>
      </c>
      <c r="J34" s="69">
        <v>6511.8180000000002</v>
      </c>
      <c r="K34" s="69">
        <v>1085.3030000000001</v>
      </c>
      <c r="L34" s="69">
        <v>1200</v>
      </c>
      <c r="M34" s="69">
        <v>840</v>
      </c>
    </row>
    <row r="35" spans="2:13" x14ac:dyDescent="0.25">
      <c r="B35" s="114">
        <v>33</v>
      </c>
      <c r="C35" s="69">
        <v>13885.59259459655</v>
      </c>
      <c r="D35" s="69">
        <v>7081.0391271251438</v>
      </c>
      <c r="E35" s="69">
        <v>6747.567730883703</v>
      </c>
      <c r="F35" s="69">
        <v>333.47139624144188</v>
      </c>
      <c r="G35" s="69">
        <v>36900.300000000003</v>
      </c>
      <c r="J35" s="69">
        <v>5535.0450000000001</v>
      </c>
      <c r="K35" s="69">
        <v>922.50750000000016</v>
      </c>
      <c r="L35" s="69">
        <v>1200</v>
      </c>
      <c r="M35" s="69">
        <v>840</v>
      </c>
    </row>
    <row r="36" spans="2:13" x14ac:dyDescent="0.25">
      <c r="B36" s="114">
        <v>34</v>
      </c>
      <c r="C36" s="69">
        <v>38466.741736916185</v>
      </c>
      <c r="D36" s="69">
        <v>9994.3554087227549</v>
      </c>
      <c r="E36" s="69">
        <v>9168.8508630842225</v>
      </c>
      <c r="F36" s="69">
        <v>825.504545638536</v>
      </c>
      <c r="G36" s="69">
        <v>61740.28</v>
      </c>
      <c r="H36" s="69">
        <v>11250</v>
      </c>
      <c r="J36" s="69">
        <v>9261.0419999999995</v>
      </c>
      <c r="K36" s="69">
        <v>1543.5070000000001</v>
      </c>
      <c r="L36" s="69">
        <v>1200</v>
      </c>
      <c r="M36" s="69">
        <v>840</v>
      </c>
    </row>
    <row r="37" spans="2:13" x14ac:dyDescent="0.25">
      <c r="B37" s="114">
        <v>35</v>
      </c>
      <c r="C37" s="69">
        <v>29122.157609334783</v>
      </c>
      <c r="D37" s="69">
        <v>9994.3554087227549</v>
      </c>
      <c r="E37" s="69">
        <v>9344.5841275817784</v>
      </c>
      <c r="F37" s="69">
        <v>649.77128114097991</v>
      </c>
      <c r="G37" s="69">
        <v>52479.24</v>
      </c>
      <c r="J37" s="69">
        <v>7871.8859999999995</v>
      </c>
      <c r="K37" s="69">
        <v>1311.981</v>
      </c>
      <c r="L37" s="69">
        <v>1200</v>
      </c>
      <c r="M37" s="69">
        <v>840</v>
      </c>
    </row>
    <row r="38" spans="2:13" x14ac:dyDescent="0.25">
      <c r="B38" s="114">
        <v>36</v>
      </c>
      <c r="C38" s="69">
        <v>19598.472054689726</v>
      </c>
      <c r="D38" s="69">
        <v>9994.3554087227549</v>
      </c>
      <c r="E38" s="69">
        <v>9523.6855546454099</v>
      </c>
      <c r="F38" s="69">
        <v>470.66985407734796</v>
      </c>
      <c r="G38" s="69">
        <v>44607.35</v>
      </c>
      <c r="J38" s="69">
        <v>6691.1025</v>
      </c>
      <c r="K38" s="69">
        <v>1115.1837499999999</v>
      </c>
      <c r="L38" s="69">
        <v>1200</v>
      </c>
      <c r="M38" s="69">
        <v>840</v>
      </c>
    </row>
  </sheetData>
  <mergeCells count="2">
    <mergeCell ref="B1:H1"/>
    <mergeCell ref="J1:M1"/>
  </mergeCells>
  <pageMargins left="0.7" right="0.7" top="0.75" bottom="0.75" header="0.3" footer="0.3"/>
  <pageSetup orientation="portrait" horizontalDpi="4294967292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8D5CC-ED6A-4D52-A565-ACED2E6F899E}">
  <sheetPr codeName="Sheet9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4"/>
    <col min="3" max="3" width="9.5546875" style="89" bestFit="1" customWidth="1"/>
    <col min="4" max="4" width="10.5546875" style="89" bestFit="1" customWidth="1"/>
  </cols>
  <sheetData>
    <row r="1" spans="2:4" ht="14.4" x14ac:dyDescent="0.3">
      <c r="B1" s="158" t="s">
        <v>161</v>
      </c>
      <c r="C1" s="158"/>
      <c r="D1" s="158"/>
    </row>
    <row r="2" spans="2:4" ht="14.4" x14ac:dyDescent="0.3">
      <c r="B2" s="72" t="s">
        <v>90</v>
      </c>
      <c r="C2" s="72" t="s">
        <v>44</v>
      </c>
      <c r="D2" s="72" t="s">
        <v>160</v>
      </c>
    </row>
    <row r="3" spans="2:4" x14ac:dyDescent="0.25">
      <c r="B3" s="114">
        <v>1</v>
      </c>
      <c r="C3" s="89">
        <v>7200</v>
      </c>
      <c r="D3" s="89">
        <v>2400</v>
      </c>
    </row>
    <row r="4" spans="2:4" x14ac:dyDescent="0.25">
      <c r="B4" s="114">
        <v>2</v>
      </c>
      <c r="C4" s="89">
        <v>7251.4285714285716</v>
      </c>
      <c r="D4" s="89">
        <v>2434.2857142857142</v>
      </c>
    </row>
    <row r="5" spans="2:4" x14ac:dyDescent="0.25">
      <c r="B5" s="114">
        <v>3</v>
      </c>
      <c r="C5" s="89">
        <v>7302.8571428571422</v>
      </c>
      <c r="D5" s="89">
        <v>2468.5714285714284</v>
      </c>
    </row>
    <row r="6" spans="2:4" x14ac:dyDescent="0.25">
      <c r="B6" s="114">
        <v>4</v>
      </c>
      <c r="C6" s="89">
        <v>9560.5714100000005</v>
      </c>
      <c r="D6" s="89">
        <v>3003.4285199999999</v>
      </c>
    </row>
    <row r="7" spans="2:4" x14ac:dyDescent="0.25">
      <c r="B7" s="114">
        <v>5</v>
      </c>
      <c r="C7" s="89">
        <v>9627.4285899999995</v>
      </c>
      <c r="D7" s="89">
        <v>3044.5714799999996</v>
      </c>
    </row>
    <row r="8" spans="2:4" x14ac:dyDescent="0.25">
      <c r="B8" s="114">
        <v>6</v>
      </c>
      <c r="C8" s="89">
        <v>12602.571540000001</v>
      </c>
      <c r="D8" s="89">
        <v>3702.85716</v>
      </c>
    </row>
    <row r="9" spans="2:4" x14ac:dyDescent="0.25">
      <c r="B9" s="114">
        <v>7</v>
      </c>
      <c r="C9" s="89">
        <v>12689.485640000001</v>
      </c>
      <c r="D9" s="89">
        <v>3752.2286399999998</v>
      </c>
    </row>
    <row r="10" spans="2:4" x14ac:dyDescent="0.25">
      <c r="B10" s="114">
        <v>8</v>
      </c>
      <c r="C10" s="89">
        <v>12776.4</v>
      </c>
      <c r="D10" s="89">
        <v>3801.6</v>
      </c>
    </row>
    <row r="11" spans="2:4" x14ac:dyDescent="0.25">
      <c r="B11" s="114">
        <v>9</v>
      </c>
      <c r="C11" s="89">
        <v>12863.31436</v>
      </c>
      <c r="D11" s="89">
        <v>3850.97136</v>
      </c>
    </row>
    <row r="12" spans="2:4" x14ac:dyDescent="0.25">
      <c r="B12" s="114">
        <v>10</v>
      </c>
      <c r="C12" s="89">
        <v>12950.22846</v>
      </c>
      <c r="D12" s="89">
        <v>3900.3428399999998</v>
      </c>
    </row>
    <row r="13" spans="2:4" x14ac:dyDescent="0.25">
      <c r="B13" s="114">
        <v>11</v>
      </c>
      <c r="C13" s="89">
        <v>13037.142820000001</v>
      </c>
      <c r="D13" s="89">
        <v>3949.7141999999999</v>
      </c>
    </row>
    <row r="14" spans="2:4" x14ac:dyDescent="0.25">
      <c r="B14" s="114">
        <v>12</v>
      </c>
      <c r="C14" s="89">
        <v>13124.05718</v>
      </c>
      <c r="D14" s="89">
        <v>3999.0857999999998</v>
      </c>
    </row>
    <row r="15" spans="2:4" x14ac:dyDescent="0.25">
      <c r="B15" s="114">
        <v>13</v>
      </c>
      <c r="C15" s="89">
        <v>13210.97154</v>
      </c>
      <c r="D15" s="89">
        <v>4048.4571599999999</v>
      </c>
    </row>
    <row r="16" spans="2:4" x14ac:dyDescent="0.25">
      <c r="B16" s="114">
        <v>14</v>
      </c>
      <c r="C16" s="89">
        <v>13297.88564</v>
      </c>
      <c r="D16" s="89">
        <v>4097.8286399999997</v>
      </c>
    </row>
    <row r="17" spans="2:4" x14ac:dyDescent="0.25">
      <c r="B17" s="114">
        <v>15</v>
      </c>
      <c r="C17" s="89">
        <v>13384.800000000001</v>
      </c>
      <c r="D17" s="89">
        <v>4147.2</v>
      </c>
    </row>
    <row r="18" spans="2:4" x14ac:dyDescent="0.25">
      <c r="B18" s="114">
        <v>16</v>
      </c>
      <c r="C18" s="89">
        <v>13471.714360000002</v>
      </c>
      <c r="D18" s="89">
        <v>4196.5713599999999</v>
      </c>
    </row>
    <row r="19" spans="2:4" x14ac:dyDescent="0.25">
      <c r="B19" s="114">
        <v>17</v>
      </c>
      <c r="C19" s="89">
        <v>13558.628460000002</v>
      </c>
      <c r="D19" s="89">
        <v>4245.9428399999997</v>
      </c>
    </row>
    <row r="20" spans="2:4" x14ac:dyDescent="0.25">
      <c r="B20" s="114">
        <v>18</v>
      </c>
      <c r="C20" s="89">
        <v>13645.542820000001</v>
      </c>
      <c r="D20" s="89">
        <v>4295.3141999999998</v>
      </c>
    </row>
    <row r="21" spans="2:4" x14ac:dyDescent="0.25">
      <c r="B21" s="114">
        <v>19</v>
      </c>
      <c r="C21" s="89">
        <v>13732.457179999999</v>
      </c>
      <c r="D21" s="89">
        <v>4344.6858000000002</v>
      </c>
    </row>
    <row r="22" spans="2:4" x14ac:dyDescent="0.25">
      <c r="B22" s="114">
        <v>20</v>
      </c>
      <c r="C22" s="89">
        <v>13819.37154</v>
      </c>
      <c r="D22" s="89">
        <v>4394.0571600000003</v>
      </c>
    </row>
    <row r="23" spans="2:4" x14ac:dyDescent="0.25">
      <c r="B23" s="114">
        <v>21</v>
      </c>
      <c r="C23" s="89">
        <v>13906.28564</v>
      </c>
      <c r="D23" s="89">
        <v>4443.4286400000001</v>
      </c>
    </row>
    <row r="24" spans="2:4" x14ac:dyDescent="0.25">
      <c r="B24" s="114">
        <v>22</v>
      </c>
      <c r="C24" s="89">
        <v>13993.2</v>
      </c>
      <c r="D24" s="89">
        <v>4492.8</v>
      </c>
    </row>
    <row r="25" spans="2:4" x14ac:dyDescent="0.25">
      <c r="B25" s="114">
        <v>23</v>
      </c>
      <c r="C25" s="89">
        <v>14080.114360000001</v>
      </c>
      <c r="D25" s="89">
        <v>4542.1713600000003</v>
      </c>
    </row>
    <row r="26" spans="2:4" x14ac:dyDescent="0.25">
      <c r="B26" s="114">
        <v>24</v>
      </c>
      <c r="C26" s="89">
        <v>14167.028460000001</v>
      </c>
      <c r="D26" s="89">
        <v>4591.5428400000001</v>
      </c>
    </row>
    <row r="27" spans="2:4" x14ac:dyDescent="0.25">
      <c r="B27" s="114">
        <v>25</v>
      </c>
      <c r="C27" s="89">
        <v>14253.942820000002</v>
      </c>
      <c r="D27" s="89">
        <v>4640.9142000000002</v>
      </c>
    </row>
    <row r="28" spans="2:4" x14ac:dyDescent="0.25">
      <c r="B28" s="114">
        <v>26</v>
      </c>
      <c r="C28" s="89">
        <v>11031.42859</v>
      </c>
      <c r="D28" s="89">
        <v>3908.5714799999996</v>
      </c>
    </row>
    <row r="29" spans="2:4" x14ac:dyDescent="0.25">
      <c r="B29" s="114">
        <v>27</v>
      </c>
      <c r="C29" s="89">
        <v>11098.285770000002</v>
      </c>
      <c r="D29" s="89">
        <v>3949.71432</v>
      </c>
    </row>
    <row r="30" spans="2:4" x14ac:dyDescent="0.25">
      <c r="B30" s="114">
        <v>28</v>
      </c>
      <c r="C30" s="89">
        <v>8588.5714285714275</v>
      </c>
      <c r="D30" s="89">
        <v>3325.7142857142858</v>
      </c>
    </row>
    <row r="31" spans="2:4" x14ac:dyDescent="0.25">
      <c r="B31" s="114">
        <v>29</v>
      </c>
      <c r="C31" s="89">
        <v>8640</v>
      </c>
      <c r="D31" s="89">
        <v>3360</v>
      </c>
    </row>
    <row r="32" spans="2:4" x14ac:dyDescent="0.25">
      <c r="B32" s="114">
        <v>30</v>
      </c>
      <c r="C32" s="89">
        <v>8691.4285714285706</v>
      </c>
      <c r="D32" s="89">
        <v>3394.2857142857147</v>
      </c>
    </row>
    <row r="33" spans="2:4" x14ac:dyDescent="0.25">
      <c r="B33" s="114">
        <v>31</v>
      </c>
      <c r="C33" s="89">
        <v>8742.8571428571413</v>
      </c>
      <c r="D33" s="89">
        <v>3428.5714285714284</v>
      </c>
    </row>
    <row r="34" spans="2:4" x14ac:dyDescent="0.25">
      <c r="B34" s="114">
        <v>32</v>
      </c>
      <c r="C34" s="89">
        <v>8794.2857142857156</v>
      </c>
      <c r="D34" s="89">
        <v>3462.8571428571427</v>
      </c>
    </row>
    <row r="35" spans="2:4" x14ac:dyDescent="0.25">
      <c r="B35" s="114">
        <v>33</v>
      </c>
      <c r="C35" s="89">
        <v>8845.7142857142862</v>
      </c>
      <c r="D35" s="89">
        <v>3497.1428571428569</v>
      </c>
    </row>
    <row r="36" spans="2:4" x14ac:dyDescent="0.25">
      <c r="B36" s="114">
        <v>34</v>
      </c>
      <c r="C36" s="89">
        <v>8897.1428571428569</v>
      </c>
      <c r="D36" s="89">
        <v>3531.4285714285716</v>
      </c>
    </row>
    <row r="37" spans="2:4" x14ac:dyDescent="0.25">
      <c r="B37" s="114">
        <v>35</v>
      </c>
      <c r="C37" s="89">
        <v>8948.5714285714294</v>
      </c>
      <c r="D37" s="89">
        <v>3565.7142857142858</v>
      </c>
    </row>
    <row r="38" spans="2:4" x14ac:dyDescent="0.25">
      <c r="B38" s="114">
        <v>36</v>
      </c>
      <c r="C38" s="89">
        <v>9000</v>
      </c>
      <c r="D38" s="89">
        <v>3600</v>
      </c>
    </row>
  </sheetData>
  <mergeCells count="1">
    <mergeCell ref="B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EE61D-6431-4FE4-A7CB-41404DC383BB}">
  <sheetPr codeName="Sheet11"/>
  <dimension ref="B1:F38"/>
  <sheetViews>
    <sheetView workbookViewId="0">
      <selection activeCell="B39" sqref="B39"/>
    </sheetView>
  </sheetViews>
  <sheetFormatPr defaultRowHeight="13.2" x14ac:dyDescent="0.25"/>
  <cols>
    <col min="2" max="2" width="9.109375" style="114"/>
    <col min="3" max="3" width="10.6640625" style="89" bestFit="1" customWidth="1"/>
    <col min="4" max="4" width="10.5546875" style="89" bestFit="1" customWidth="1"/>
    <col min="5" max="5" width="12.88671875" style="89" bestFit="1" customWidth="1"/>
    <col min="6" max="6" width="9.109375" style="89"/>
  </cols>
  <sheetData>
    <row r="1" spans="2:6" ht="14.4" x14ac:dyDescent="0.3">
      <c r="B1" s="158" t="s">
        <v>165</v>
      </c>
      <c r="C1" s="158"/>
      <c r="D1" s="158"/>
      <c r="E1" s="158"/>
      <c r="F1" s="158"/>
    </row>
    <row r="2" spans="2:6" ht="14.4" x14ac:dyDescent="0.3">
      <c r="B2" s="72" t="s">
        <v>90</v>
      </c>
      <c r="C2" s="72" t="s">
        <v>166</v>
      </c>
      <c r="D2" s="72" t="s">
        <v>18</v>
      </c>
      <c r="E2" s="72" t="s">
        <v>167</v>
      </c>
      <c r="F2" s="72" t="s">
        <v>48</v>
      </c>
    </row>
    <row r="3" spans="2:6" x14ac:dyDescent="0.25">
      <c r="B3" s="114">
        <v>1</v>
      </c>
      <c r="C3" s="89">
        <v>660</v>
      </c>
      <c r="D3" s="89">
        <v>960</v>
      </c>
      <c r="E3" s="89">
        <v>399</v>
      </c>
      <c r="F3" s="89">
        <v>3600</v>
      </c>
    </row>
    <row r="4" spans="2:6" x14ac:dyDescent="0.25">
      <c r="B4" s="114">
        <v>2</v>
      </c>
      <c r="C4" s="89">
        <v>664.71428571428567</v>
      </c>
      <c r="D4" s="89">
        <v>966.85714285714289</v>
      </c>
      <c r="E4" s="89">
        <v>401.84999999999997</v>
      </c>
      <c r="F4" s="89">
        <v>3651.4285714285711</v>
      </c>
    </row>
    <row r="5" spans="2:6" x14ac:dyDescent="0.25">
      <c r="B5" s="114">
        <v>3</v>
      </c>
      <c r="C5" s="89">
        <v>669.42857142857144</v>
      </c>
      <c r="D5" s="89">
        <v>973.71428571428567</v>
      </c>
      <c r="E5" s="89">
        <v>404.7</v>
      </c>
      <c r="F5" s="89">
        <v>3702.8571428571427</v>
      </c>
    </row>
    <row r="6" spans="2:6" x14ac:dyDescent="0.25">
      <c r="B6" s="114">
        <v>4</v>
      </c>
      <c r="C6" s="89">
        <v>674.14290000000005</v>
      </c>
      <c r="D6" s="89">
        <v>1274.7428200000002</v>
      </c>
      <c r="E6" s="89">
        <v>407.55</v>
      </c>
      <c r="F6" s="89">
        <v>4880.5714100000005</v>
      </c>
    </row>
    <row r="7" spans="2:6" x14ac:dyDescent="0.25">
      <c r="B7" s="114">
        <v>5</v>
      </c>
      <c r="C7" s="89">
        <v>678.85709999999995</v>
      </c>
      <c r="D7" s="89">
        <v>1283.6571799999999</v>
      </c>
      <c r="E7" s="89">
        <v>410.4</v>
      </c>
      <c r="F7" s="89">
        <v>4947.4285900000004</v>
      </c>
    </row>
    <row r="8" spans="2:6" x14ac:dyDescent="0.25">
      <c r="B8" s="114">
        <v>6</v>
      </c>
      <c r="C8" s="89">
        <v>683.57140000000004</v>
      </c>
      <c r="D8" s="89">
        <v>1680.3428200000001</v>
      </c>
      <c r="E8" s="89">
        <v>413.25</v>
      </c>
      <c r="F8" s="89">
        <v>6518.5715399999999</v>
      </c>
    </row>
    <row r="9" spans="2:6" x14ac:dyDescent="0.25">
      <c r="B9" s="114">
        <v>7</v>
      </c>
      <c r="C9" s="89">
        <v>688.28570000000002</v>
      </c>
      <c r="D9" s="89">
        <v>1691.93154</v>
      </c>
      <c r="E9" s="89">
        <v>416.1</v>
      </c>
      <c r="F9" s="89">
        <v>6605.4856399999999</v>
      </c>
    </row>
    <row r="10" spans="2:6" x14ac:dyDescent="0.25">
      <c r="B10" s="114">
        <v>8</v>
      </c>
      <c r="C10" s="89">
        <v>693</v>
      </c>
      <c r="D10" s="89">
        <v>1703.5200000000002</v>
      </c>
      <c r="E10" s="89">
        <v>418.95</v>
      </c>
      <c r="F10" s="89">
        <v>6692.4000000000005</v>
      </c>
    </row>
    <row r="11" spans="2:6" x14ac:dyDescent="0.25">
      <c r="B11" s="114">
        <v>9</v>
      </c>
      <c r="C11" s="89">
        <v>697.71429999999998</v>
      </c>
      <c r="D11" s="89">
        <v>1715.1084600000002</v>
      </c>
      <c r="E11" s="89">
        <v>421.8</v>
      </c>
      <c r="F11" s="89">
        <v>6779.3143600000003</v>
      </c>
    </row>
    <row r="12" spans="2:6" x14ac:dyDescent="0.25">
      <c r="B12" s="114">
        <v>10</v>
      </c>
      <c r="C12" s="89">
        <v>702.42859999999996</v>
      </c>
      <c r="D12" s="89">
        <v>1726.6971799999999</v>
      </c>
      <c r="E12" s="89">
        <v>424.65</v>
      </c>
      <c r="F12" s="89">
        <v>6866.2284600000003</v>
      </c>
    </row>
    <row r="13" spans="2:6" x14ac:dyDescent="0.25">
      <c r="B13" s="114">
        <v>11</v>
      </c>
      <c r="C13" s="89">
        <v>707.14290000000005</v>
      </c>
      <c r="D13" s="89">
        <v>1738.2856400000001</v>
      </c>
      <c r="E13" s="89">
        <v>427.5</v>
      </c>
      <c r="F13" s="89">
        <v>6953.14282</v>
      </c>
    </row>
    <row r="14" spans="2:6" x14ac:dyDescent="0.25">
      <c r="B14" s="114">
        <v>12</v>
      </c>
      <c r="C14" s="89">
        <v>711.85709999999995</v>
      </c>
      <c r="D14" s="89">
        <v>1749.87436</v>
      </c>
      <c r="E14" s="89">
        <v>430.35</v>
      </c>
      <c r="F14" s="89">
        <v>7040.0571800000007</v>
      </c>
    </row>
    <row r="15" spans="2:6" x14ac:dyDescent="0.25">
      <c r="B15" s="114">
        <v>13</v>
      </c>
      <c r="C15" s="89">
        <v>716.57140000000004</v>
      </c>
      <c r="D15" s="89">
        <v>1761.46282</v>
      </c>
      <c r="E15" s="89">
        <v>433.2</v>
      </c>
      <c r="F15" s="89">
        <v>7126.9715399999995</v>
      </c>
    </row>
    <row r="16" spans="2:6" x14ac:dyDescent="0.25">
      <c r="B16" s="114">
        <v>14</v>
      </c>
      <c r="C16" s="89">
        <v>721.28570000000002</v>
      </c>
      <c r="D16" s="89">
        <v>1773.0515400000002</v>
      </c>
      <c r="E16" s="89">
        <v>436.05</v>
      </c>
      <c r="F16" s="89">
        <v>7213.8856399999995</v>
      </c>
    </row>
    <row r="17" spans="2:6" x14ac:dyDescent="0.25">
      <c r="B17" s="114">
        <v>15</v>
      </c>
      <c r="C17" s="89">
        <v>726</v>
      </c>
      <c r="D17" s="89">
        <v>1784.64</v>
      </c>
      <c r="E17" s="89">
        <v>438.9</v>
      </c>
      <c r="F17" s="89">
        <v>7300.8</v>
      </c>
    </row>
    <row r="18" spans="2:6" x14ac:dyDescent="0.25">
      <c r="B18" s="114">
        <v>16</v>
      </c>
      <c r="C18" s="89">
        <v>730.71429999999998</v>
      </c>
      <c r="D18" s="89">
        <v>1796.2284599999998</v>
      </c>
      <c r="E18" s="89">
        <v>441.75</v>
      </c>
      <c r="F18" s="89">
        <v>7387.7143600000009</v>
      </c>
    </row>
    <row r="19" spans="2:6" x14ac:dyDescent="0.25">
      <c r="B19" s="114">
        <v>17</v>
      </c>
      <c r="C19" s="89">
        <v>735.42859999999996</v>
      </c>
      <c r="D19" s="89">
        <v>1807.81718</v>
      </c>
      <c r="E19" s="89">
        <v>444.6</v>
      </c>
      <c r="F19" s="89">
        <v>7474.6284600000008</v>
      </c>
    </row>
    <row r="20" spans="2:6" x14ac:dyDescent="0.25">
      <c r="B20" s="114">
        <v>18</v>
      </c>
      <c r="C20" s="89">
        <v>740.14290000000005</v>
      </c>
      <c r="D20" s="89">
        <v>1819.4056399999999</v>
      </c>
      <c r="E20" s="89">
        <v>447.45</v>
      </c>
      <c r="F20" s="89">
        <v>7561.5428199999997</v>
      </c>
    </row>
    <row r="21" spans="2:6" x14ac:dyDescent="0.25">
      <c r="B21" s="114">
        <v>19</v>
      </c>
      <c r="C21" s="89">
        <v>744.85709999999995</v>
      </c>
      <c r="D21" s="89">
        <v>1830.9943600000001</v>
      </c>
      <c r="E21" s="89">
        <v>450.3</v>
      </c>
      <c r="F21" s="89">
        <v>7648.4571800000003</v>
      </c>
    </row>
    <row r="22" spans="2:6" x14ac:dyDescent="0.25">
      <c r="B22" s="114">
        <v>20</v>
      </c>
      <c r="C22" s="89">
        <v>749.57140000000004</v>
      </c>
      <c r="D22" s="89">
        <v>1842.5828200000001</v>
      </c>
      <c r="E22" s="89">
        <v>453.15</v>
      </c>
      <c r="F22" s="89">
        <v>7735.3715400000001</v>
      </c>
    </row>
    <row r="23" spans="2:6" x14ac:dyDescent="0.25">
      <c r="B23" s="114">
        <v>21</v>
      </c>
      <c r="C23" s="89">
        <v>754.28570000000002</v>
      </c>
      <c r="D23" s="89">
        <v>1854.1715400000003</v>
      </c>
      <c r="E23" s="89">
        <v>456</v>
      </c>
      <c r="F23" s="89">
        <v>7822.2856400000001</v>
      </c>
    </row>
    <row r="24" spans="2:6" x14ac:dyDescent="0.25">
      <c r="B24" s="114">
        <v>22</v>
      </c>
      <c r="C24" s="89">
        <v>759</v>
      </c>
      <c r="D24" s="89">
        <v>1865.7600000000002</v>
      </c>
      <c r="E24" s="89">
        <v>458.85</v>
      </c>
      <c r="F24" s="89">
        <v>7909.2</v>
      </c>
    </row>
    <row r="25" spans="2:6" x14ac:dyDescent="0.25">
      <c r="B25" s="114">
        <v>23</v>
      </c>
      <c r="C25" s="89">
        <v>763.71429999999998</v>
      </c>
      <c r="D25" s="89">
        <v>1877.3484599999999</v>
      </c>
      <c r="E25" s="89">
        <v>461.7</v>
      </c>
      <c r="F25" s="89">
        <v>7996.1143600000005</v>
      </c>
    </row>
    <row r="26" spans="2:6" x14ac:dyDescent="0.25">
      <c r="B26" s="114">
        <v>24</v>
      </c>
      <c r="C26" s="89">
        <v>768.42859999999996</v>
      </c>
      <c r="D26" s="89">
        <v>1888.9371800000001</v>
      </c>
      <c r="E26" s="89">
        <v>464.55</v>
      </c>
      <c r="F26" s="89">
        <v>8083.0284600000005</v>
      </c>
    </row>
    <row r="27" spans="2:6" x14ac:dyDescent="0.25">
      <c r="B27" s="114">
        <v>25</v>
      </c>
      <c r="C27" s="89">
        <v>773.14290000000005</v>
      </c>
      <c r="D27" s="89">
        <v>1900.5256400000001</v>
      </c>
      <c r="E27" s="89">
        <v>467.4</v>
      </c>
      <c r="F27" s="89">
        <v>8169.9428200000002</v>
      </c>
    </row>
    <row r="28" spans="2:6" x14ac:dyDescent="0.25">
      <c r="B28" s="114">
        <v>26</v>
      </c>
      <c r="C28" s="89">
        <v>777.85709999999995</v>
      </c>
      <c r="D28" s="89">
        <v>1470.85718</v>
      </c>
      <c r="E28" s="89">
        <v>470.25</v>
      </c>
      <c r="F28" s="89">
        <v>6351.4285899999995</v>
      </c>
    </row>
    <row r="29" spans="2:6" x14ac:dyDescent="0.25">
      <c r="B29" s="114">
        <v>27</v>
      </c>
      <c r="C29" s="89">
        <v>782.57140000000004</v>
      </c>
      <c r="D29" s="89">
        <v>1479.7714099999998</v>
      </c>
      <c r="E29" s="89">
        <v>473.1</v>
      </c>
      <c r="F29" s="89">
        <v>6418.2857700000004</v>
      </c>
    </row>
    <row r="30" spans="2:6" x14ac:dyDescent="0.25">
      <c r="B30" s="114">
        <v>28</v>
      </c>
      <c r="C30" s="89">
        <v>787.28571428571422</v>
      </c>
      <c r="D30" s="89">
        <v>1145.1428571428571</v>
      </c>
      <c r="E30" s="89">
        <v>475.95</v>
      </c>
      <c r="F30" s="89">
        <v>4988.5714285714284</v>
      </c>
    </row>
    <row r="31" spans="2:6" x14ac:dyDescent="0.25">
      <c r="B31" s="114">
        <v>29</v>
      </c>
      <c r="C31" s="89">
        <v>792</v>
      </c>
      <c r="D31" s="89">
        <v>1152</v>
      </c>
      <c r="E31" s="89">
        <v>478.79999999999995</v>
      </c>
      <c r="F31" s="89">
        <v>5040</v>
      </c>
    </row>
    <row r="32" spans="2:6" x14ac:dyDescent="0.25">
      <c r="B32" s="114">
        <v>30</v>
      </c>
      <c r="C32" s="89">
        <v>796.71428571428567</v>
      </c>
      <c r="D32" s="89">
        <v>1158.8571428571429</v>
      </c>
      <c r="E32" s="89">
        <v>481.65</v>
      </c>
      <c r="F32" s="89">
        <v>5091.4285714285716</v>
      </c>
    </row>
    <row r="33" spans="2:6" x14ac:dyDescent="0.25">
      <c r="B33" s="114">
        <v>31</v>
      </c>
      <c r="C33" s="89">
        <v>801.42857142857133</v>
      </c>
      <c r="D33" s="89">
        <v>1165.7142857142856</v>
      </c>
      <c r="E33" s="89">
        <v>484.49999999999994</v>
      </c>
      <c r="F33" s="89">
        <v>5142.8571428571431</v>
      </c>
    </row>
    <row r="34" spans="2:6" x14ac:dyDescent="0.25">
      <c r="B34" s="114">
        <v>32</v>
      </c>
      <c r="C34" s="89">
        <v>806.14285714285722</v>
      </c>
      <c r="D34" s="89">
        <v>1172.5714285714287</v>
      </c>
      <c r="E34" s="89">
        <v>487.35</v>
      </c>
      <c r="F34" s="89">
        <v>5194.2857142857138</v>
      </c>
    </row>
    <row r="35" spans="2:6" x14ac:dyDescent="0.25">
      <c r="B35" s="114">
        <v>33</v>
      </c>
      <c r="C35" s="89">
        <v>810.85714285714289</v>
      </c>
      <c r="D35" s="89">
        <v>1179.4285714285716</v>
      </c>
      <c r="E35" s="89">
        <v>490.20000000000005</v>
      </c>
      <c r="F35" s="89">
        <v>5245.7142857142853</v>
      </c>
    </row>
    <row r="36" spans="2:6" x14ac:dyDescent="0.25">
      <c r="B36" s="114">
        <v>34</v>
      </c>
      <c r="C36" s="89">
        <v>815.57142857142856</v>
      </c>
      <c r="D36" s="89">
        <v>1186.2857142857142</v>
      </c>
      <c r="E36" s="89">
        <v>493.05</v>
      </c>
      <c r="F36" s="89">
        <v>5297.1428571428578</v>
      </c>
    </row>
    <row r="37" spans="2:6" x14ac:dyDescent="0.25">
      <c r="B37" s="114">
        <v>35</v>
      </c>
      <c r="C37" s="89">
        <v>820.28571428571433</v>
      </c>
      <c r="D37" s="89">
        <v>1193.1428571428571</v>
      </c>
      <c r="E37" s="89">
        <v>495.90000000000003</v>
      </c>
      <c r="F37" s="89">
        <v>5348.5714285714284</v>
      </c>
    </row>
    <row r="38" spans="2:6" x14ac:dyDescent="0.25">
      <c r="B38" s="114">
        <v>36</v>
      </c>
      <c r="C38" s="89">
        <v>825</v>
      </c>
      <c r="D38" s="89">
        <v>1200</v>
      </c>
      <c r="E38" s="89">
        <v>498.75</v>
      </c>
      <c r="F38" s="89">
        <v>5400</v>
      </c>
    </row>
  </sheetData>
  <mergeCells count="1"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066E-8DF1-433D-83E0-E1802D6DB74E}">
  <sheetPr codeName="Sheet12"/>
  <dimension ref="B1:E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9.109375" style="126"/>
    <col min="4" max="4" width="16.6640625" style="126" bestFit="1" customWidth="1"/>
    <col min="5" max="5" width="12.6640625" style="126" bestFit="1" customWidth="1"/>
  </cols>
  <sheetData>
    <row r="1" spans="2:5" ht="14.4" x14ac:dyDescent="0.3">
      <c r="B1" s="158" t="s">
        <v>168</v>
      </c>
      <c r="C1" s="158"/>
      <c r="D1" s="158"/>
      <c r="E1" s="158"/>
    </row>
    <row r="2" spans="2:5" ht="14.4" x14ac:dyDescent="0.3">
      <c r="B2" s="72" t="s">
        <v>90</v>
      </c>
      <c r="C2" s="72" t="s">
        <v>29</v>
      </c>
      <c r="D2" s="72" t="s">
        <v>169</v>
      </c>
      <c r="E2" s="72" t="s">
        <v>170</v>
      </c>
    </row>
    <row r="3" spans="2:5" x14ac:dyDescent="0.25">
      <c r="B3" s="113">
        <v>1</v>
      </c>
      <c r="C3" s="126">
        <v>1800</v>
      </c>
      <c r="D3" s="126">
        <v>900</v>
      </c>
      <c r="E3" s="126">
        <v>900</v>
      </c>
    </row>
    <row r="4" spans="2:5" x14ac:dyDescent="0.25">
      <c r="B4" s="113">
        <v>2</v>
      </c>
      <c r="C4" s="126">
        <v>1815.4285714285716</v>
      </c>
      <c r="D4" s="126">
        <v>905.14285714285722</v>
      </c>
      <c r="E4" s="126">
        <v>903.85714285714278</v>
      </c>
    </row>
    <row r="5" spans="2:5" x14ac:dyDescent="0.25">
      <c r="B5" s="113">
        <v>3</v>
      </c>
      <c r="C5" s="126">
        <v>1830.8571428571429</v>
      </c>
      <c r="D5" s="126">
        <v>910.28571428571422</v>
      </c>
      <c r="E5" s="126">
        <v>907.71428571428578</v>
      </c>
    </row>
    <row r="6" spans="2:5" x14ac:dyDescent="0.25">
      <c r="B6" s="113">
        <v>4</v>
      </c>
      <c r="C6" s="126">
        <v>2215.5428399999996</v>
      </c>
      <c r="D6" s="126">
        <v>1190.05718</v>
      </c>
      <c r="E6" s="126">
        <v>1185.0428200000001</v>
      </c>
    </row>
    <row r="7" spans="2:5" x14ac:dyDescent="0.25">
      <c r="B7" s="113">
        <v>5</v>
      </c>
      <c r="C7" s="126">
        <v>2234.0571599999998</v>
      </c>
      <c r="D7" s="126">
        <v>1196.7428200000002</v>
      </c>
      <c r="E7" s="126">
        <v>1190.05718</v>
      </c>
    </row>
    <row r="8" spans="2:5" x14ac:dyDescent="0.25">
      <c r="B8" s="113">
        <v>6</v>
      </c>
      <c r="C8" s="126">
        <v>2703.0857999999998</v>
      </c>
      <c r="D8" s="126">
        <v>1564.4571800000001</v>
      </c>
      <c r="E8" s="126">
        <v>1553.5928200000001</v>
      </c>
    </row>
    <row r="9" spans="2:5" x14ac:dyDescent="0.25">
      <c r="B9" s="113">
        <v>7</v>
      </c>
      <c r="C9" s="126">
        <v>2725.3028399999998</v>
      </c>
      <c r="D9" s="126">
        <v>1573.1484600000001</v>
      </c>
      <c r="E9" s="126">
        <v>1560.1115400000001</v>
      </c>
    </row>
    <row r="10" spans="2:5" x14ac:dyDescent="0.25">
      <c r="B10" s="113">
        <v>8</v>
      </c>
      <c r="C10" s="126">
        <v>2747.52</v>
      </c>
      <c r="D10" s="126">
        <v>1581.84</v>
      </c>
      <c r="E10" s="126">
        <v>1566.6299999999999</v>
      </c>
    </row>
    <row r="11" spans="2:5" x14ac:dyDescent="0.25">
      <c r="B11" s="113">
        <v>9</v>
      </c>
      <c r="C11" s="126">
        <v>2769.7371600000001</v>
      </c>
      <c r="D11" s="126">
        <v>1590.5315399999999</v>
      </c>
      <c r="E11" s="126">
        <v>1573.1484600000001</v>
      </c>
    </row>
    <row r="12" spans="2:5" x14ac:dyDescent="0.25">
      <c r="B12" s="113">
        <v>10</v>
      </c>
      <c r="C12" s="126">
        <v>2791.9541999999997</v>
      </c>
      <c r="D12" s="126">
        <v>1599.22282</v>
      </c>
      <c r="E12" s="126">
        <v>1579.6671800000001</v>
      </c>
    </row>
    <row r="13" spans="2:5" x14ac:dyDescent="0.25">
      <c r="B13" s="113">
        <v>11</v>
      </c>
      <c r="C13" s="126">
        <v>2814.1713599999998</v>
      </c>
      <c r="D13" s="126">
        <v>1607.91436</v>
      </c>
      <c r="E13" s="126">
        <v>1586.1856400000001</v>
      </c>
    </row>
    <row r="14" spans="2:5" x14ac:dyDescent="0.25">
      <c r="B14" s="113">
        <v>12</v>
      </c>
      <c r="C14" s="126">
        <v>2836.3886400000001</v>
      </c>
      <c r="D14" s="126">
        <v>1616.60564</v>
      </c>
      <c r="E14" s="126">
        <v>1592.7043600000002</v>
      </c>
    </row>
    <row r="15" spans="2:5" x14ac:dyDescent="0.25">
      <c r="B15" s="113">
        <v>13</v>
      </c>
      <c r="C15" s="126">
        <v>2858.6057999999998</v>
      </c>
      <c r="D15" s="126">
        <v>1625.29718</v>
      </c>
      <c r="E15" s="126">
        <v>1599.22282</v>
      </c>
    </row>
    <row r="16" spans="2:5" x14ac:dyDescent="0.25">
      <c r="B16" s="113">
        <v>14</v>
      </c>
      <c r="C16" s="126">
        <v>2880.8228399999998</v>
      </c>
      <c r="D16" s="126">
        <v>1633.98846</v>
      </c>
      <c r="E16" s="126">
        <v>1605.74154</v>
      </c>
    </row>
    <row r="17" spans="2:5" x14ac:dyDescent="0.25">
      <c r="B17" s="113">
        <v>15</v>
      </c>
      <c r="C17" s="126">
        <v>2903.0399999999995</v>
      </c>
      <c r="D17" s="126">
        <v>1642.6799999999998</v>
      </c>
      <c r="E17" s="126">
        <v>1612.2600000000002</v>
      </c>
    </row>
    <row r="18" spans="2:5" x14ac:dyDescent="0.25">
      <c r="B18" s="113">
        <v>16</v>
      </c>
      <c r="C18" s="126">
        <v>2925.2571600000001</v>
      </c>
      <c r="D18" s="126">
        <v>1651.3715400000001</v>
      </c>
      <c r="E18" s="126">
        <v>1618.77846</v>
      </c>
    </row>
    <row r="19" spans="2:5" x14ac:dyDescent="0.25">
      <c r="B19" s="113">
        <v>17</v>
      </c>
      <c r="C19" s="126">
        <v>2947.4742000000001</v>
      </c>
      <c r="D19" s="126">
        <v>1660.0628199999999</v>
      </c>
      <c r="E19" s="126">
        <v>1625.29718</v>
      </c>
    </row>
    <row r="20" spans="2:5" x14ac:dyDescent="0.25">
      <c r="B20" s="113">
        <v>18</v>
      </c>
      <c r="C20" s="126">
        <v>2969.6913599999998</v>
      </c>
      <c r="D20" s="126">
        <v>1668.7543600000001</v>
      </c>
      <c r="E20" s="126">
        <v>1631.81564</v>
      </c>
    </row>
    <row r="21" spans="2:5" x14ac:dyDescent="0.25">
      <c r="B21" s="113">
        <v>19</v>
      </c>
      <c r="C21" s="126">
        <v>2991.9086400000001</v>
      </c>
      <c r="D21" s="126">
        <v>1677.4456399999999</v>
      </c>
      <c r="E21" s="126">
        <v>1638.3343600000001</v>
      </c>
    </row>
    <row r="22" spans="2:5" x14ac:dyDescent="0.25">
      <c r="B22" s="113">
        <v>20</v>
      </c>
      <c r="C22" s="126">
        <v>3014.1257999999998</v>
      </c>
      <c r="D22" s="126">
        <v>1686.1371800000002</v>
      </c>
      <c r="E22" s="126">
        <v>1644.8528200000001</v>
      </c>
    </row>
    <row r="23" spans="2:5" x14ac:dyDescent="0.25">
      <c r="B23" s="113">
        <v>21</v>
      </c>
      <c r="C23" s="126">
        <v>3036.3428399999998</v>
      </c>
      <c r="D23" s="126">
        <v>1694.82846</v>
      </c>
      <c r="E23" s="126">
        <v>1651.3715400000001</v>
      </c>
    </row>
    <row r="24" spans="2:5" x14ac:dyDescent="0.25">
      <c r="B24" s="113">
        <v>22</v>
      </c>
      <c r="C24" s="126">
        <v>3058.56</v>
      </c>
      <c r="D24" s="126">
        <v>1703.5200000000002</v>
      </c>
      <c r="E24" s="126">
        <v>1657.89</v>
      </c>
    </row>
    <row r="25" spans="2:5" x14ac:dyDescent="0.25">
      <c r="B25" s="113">
        <v>23</v>
      </c>
      <c r="C25" s="126">
        <v>3080.7771600000001</v>
      </c>
      <c r="D25" s="126">
        <v>1712.2115400000002</v>
      </c>
      <c r="E25" s="126">
        <v>1664.4084600000001</v>
      </c>
    </row>
    <row r="26" spans="2:5" x14ac:dyDescent="0.25">
      <c r="B26" s="113">
        <v>24</v>
      </c>
      <c r="C26" s="126">
        <v>3102.9942000000001</v>
      </c>
      <c r="D26" s="126">
        <v>1720.9028200000002</v>
      </c>
      <c r="E26" s="126">
        <v>1670.9271800000001</v>
      </c>
    </row>
    <row r="27" spans="2:5" x14ac:dyDescent="0.25">
      <c r="B27" s="113">
        <v>25</v>
      </c>
      <c r="C27" s="126">
        <v>3125.2113599999998</v>
      </c>
      <c r="D27" s="126">
        <v>1729.5943600000001</v>
      </c>
      <c r="E27" s="126">
        <v>1677.4456399999999</v>
      </c>
    </row>
    <row r="28" spans="2:5" x14ac:dyDescent="0.25">
      <c r="B28" s="113">
        <v>26</v>
      </c>
      <c r="C28" s="126">
        <v>2622.85716</v>
      </c>
      <c r="D28" s="126">
        <v>1337.14282</v>
      </c>
      <c r="E28" s="126">
        <v>1295.35718</v>
      </c>
    </row>
    <row r="29" spans="2:5" x14ac:dyDescent="0.25">
      <c r="B29" s="113">
        <v>27</v>
      </c>
      <c r="C29" s="126">
        <v>2641.3714799999998</v>
      </c>
      <c r="D29" s="126">
        <v>1343.8285900000001</v>
      </c>
      <c r="E29" s="126">
        <v>1300.37141</v>
      </c>
    </row>
    <row r="30" spans="2:5" x14ac:dyDescent="0.25">
      <c r="B30" s="113">
        <v>28</v>
      </c>
      <c r="C30" s="126">
        <v>2216.5714285714284</v>
      </c>
      <c r="D30" s="126">
        <v>1038.8571428571429</v>
      </c>
      <c r="E30" s="126">
        <v>1004.1428571428571</v>
      </c>
    </row>
    <row r="31" spans="2:5" x14ac:dyDescent="0.25">
      <c r="B31" s="113">
        <v>29</v>
      </c>
      <c r="C31" s="126">
        <v>2232</v>
      </c>
      <c r="D31" s="126">
        <v>1044.0000000000002</v>
      </c>
      <c r="E31" s="126">
        <v>1008.0000000000001</v>
      </c>
    </row>
    <row r="32" spans="2:5" x14ac:dyDescent="0.25">
      <c r="B32" s="113">
        <v>30</v>
      </c>
      <c r="C32" s="126">
        <v>2247.4285714285716</v>
      </c>
      <c r="D32" s="126">
        <v>1049.1428571428571</v>
      </c>
      <c r="E32" s="126">
        <v>1011.8571428571429</v>
      </c>
    </row>
    <row r="33" spans="2:5" x14ac:dyDescent="0.25">
      <c r="B33" s="113">
        <v>31</v>
      </c>
      <c r="C33" s="126">
        <v>2262.8571428571427</v>
      </c>
      <c r="D33" s="126">
        <v>1054.2857142857144</v>
      </c>
      <c r="E33" s="126">
        <v>1015.7142857142857</v>
      </c>
    </row>
    <row r="34" spans="2:5" x14ac:dyDescent="0.25">
      <c r="B34" s="113">
        <v>32</v>
      </c>
      <c r="C34" s="126">
        <v>2278.2857142857142</v>
      </c>
      <c r="D34" s="126">
        <v>1059.4285714285713</v>
      </c>
      <c r="E34" s="126">
        <v>1019.5714285714286</v>
      </c>
    </row>
    <row r="35" spans="2:5" x14ac:dyDescent="0.25">
      <c r="B35" s="113">
        <v>33</v>
      </c>
      <c r="C35" s="126">
        <v>2293.7142857142858</v>
      </c>
      <c r="D35" s="126">
        <v>1064.5714285714284</v>
      </c>
      <c r="E35" s="126">
        <v>1023.4285714285713</v>
      </c>
    </row>
    <row r="36" spans="2:5" x14ac:dyDescent="0.25">
      <c r="B36" s="113">
        <v>34</v>
      </c>
      <c r="C36" s="126">
        <v>2309.1428571428573</v>
      </c>
      <c r="D36" s="126">
        <v>1069.7142857142858</v>
      </c>
      <c r="E36" s="126">
        <v>1027.2857142857142</v>
      </c>
    </row>
    <row r="37" spans="2:5" x14ac:dyDescent="0.25">
      <c r="B37" s="113">
        <v>35</v>
      </c>
      <c r="C37" s="126">
        <v>2324.5714285714284</v>
      </c>
      <c r="D37" s="126">
        <v>1074.8571428571429</v>
      </c>
      <c r="E37" s="126">
        <v>1031.1428571428571</v>
      </c>
    </row>
    <row r="38" spans="2:5" x14ac:dyDescent="0.25">
      <c r="B38" s="113">
        <v>36</v>
      </c>
      <c r="C38" s="126">
        <v>2340</v>
      </c>
      <c r="D38" s="126">
        <v>1080</v>
      </c>
      <c r="E38" s="126">
        <v>1035</v>
      </c>
    </row>
  </sheetData>
  <mergeCells count="1">
    <mergeCell ref="B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951B-A6B4-4A93-AC4D-7DE946D3CEE8}">
  <sheetPr codeName="Sheet10"/>
  <dimension ref="B1:G38"/>
  <sheetViews>
    <sheetView workbookViewId="0">
      <selection activeCell="B39" sqref="B39"/>
    </sheetView>
  </sheetViews>
  <sheetFormatPr defaultRowHeight="13.2" x14ac:dyDescent="0.25"/>
  <cols>
    <col min="2" max="2" width="9.109375" style="114"/>
    <col min="3" max="3" width="9.5546875" style="89" bestFit="1" customWidth="1"/>
    <col min="4" max="4" width="10.5546875" style="89" bestFit="1" customWidth="1"/>
    <col min="5" max="5" width="14.6640625" style="89" bestFit="1" customWidth="1"/>
    <col min="6" max="6" width="10.5546875" style="89" bestFit="1" customWidth="1"/>
  </cols>
  <sheetData>
    <row r="1" spans="2:7" ht="14.4" x14ac:dyDescent="0.3">
      <c r="B1" s="158" t="s">
        <v>171</v>
      </c>
      <c r="C1" s="158"/>
      <c r="D1" s="158"/>
      <c r="E1" s="158"/>
      <c r="F1" s="158"/>
      <c r="G1" s="158"/>
    </row>
    <row r="2" spans="2:7" ht="14.4" x14ac:dyDescent="0.3">
      <c r="B2" s="72" t="s">
        <v>90</v>
      </c>
      <c r="C2" s="72" t="s">
        <v>54</v>
      </c>
      <c r="D2" s="72" t="s">
        <v>181</v>
      </c>
      <c r="E2" s="72" t="s">
        <v>59</v>
      </c>
      <c r="F2" s="72" t="s">
        <v>182</v>
      </c>
      <c r="G2" s="72" t="s">
        <v>58</v>
      </c>
    </row>
    <row r="3" spans="2:7" x14ac:dyDescent="0.25">
      <c r="B3" s="114">
        <v>1</v>
      </c>
      <c r="C3" s="89">
        <v>900</v>
      </c>
      <c r="D3" s="89">
        <v>240</v>
      </c>
      <c r="E3" s="89">
        <v>180</v>
      </c>
      <c r="F3" s="89">
        <v>0</v>
      </c>
      <c r="G3">
        <v>399.99959999999999</v>
      </c>
    </row>
    <row r="4" spans="2:7" x14ac:dyDescent="0.25">
      <c r="B4" s="114">
        <v>2</v>
      </c>
      <c r="C4" s="89">
        <v>900</v>
      </c>
      <c r="D4" s="89">
        <v>240</v>
      </c>
      <c r="E4" s="89">
        <v>180</v>
      </c>
      <c r="F4" s="89">
        <v>0</v>
      </c>
      <c r="G4">
        <v>399.99959999999999</v>
      </c>
    </row>
    <row r="5" spans="2:7" x14ac:dyDescent="0.25">
      <c r="B5" s="114">
        <v>3</v>
      </c>
      <c r="C5" s="89">
        <v>900</v>
      </c>
      <c r="D5" s="89">
        <v>240</v>
      </c>
      <c r="E5" s="89">
        <v>180</v>
      </c>
      <c r="F5" s="89">
        <v>0</v>
      </c>
      <c r="G5">
        <v>399.99959999999999</v>
      </c>
    </row>
    <row r="6" spans="2:7" x14ac:dyDescent="0.25">
      <c r="B6" s="114">
        <v>4</v>
      </c>
      <c r="C6" s="89">
        <v>900</v>
      </c>
      <c r="D6" s="89">
        <v>240</v>
      </c>
      <c r="E6" s="89">
        <v>180</v>
      </c>
      <c r="F6" s="89">
        <v>0</v>
      </c>
      <c r="G6">
        <v>399.99959999999999</v>
      </c>
    </row>
    <row r="7" spans="2:7" x14ac:dyDescent="0.25">
      <c r="B7" s="114">
        <v>5</v>
      </c>
      <c r="C7" s="89">
        <v>900</v>
      </c>
      <c r="D7" s="89">
        <v>240</v>
      </c>
      <c r="E7" s="89">
        <v>180</v>
      </c>
      <c r="F7" s="89">
        <v>0</v>
      </c>
      <c r="G7">
        <v>399.99959999999999</v>
      </c>
    </row>
    <row r="8" spans="2:7" x14ac:dyDescent="0.25">
      <c r="B8" s="114">
        <v>6</v>
      </c>
      <c r="C8" s="89">
        <v>900</v>
      </c>
      <c r="D8" s="89">
        <v>240</v>
      </c>
      <c r="E8" s="89">
        <v>180</v>
      </c>
      <c r="F8" s="89">
        <v>0</v>
      </c>
      <c r="G8">
        <v>399.99959999999999</v>
      </c>
    </row>
    <row r="9" spans="2:7" x14ac:dyDescent="0.25">
      <c r="B9" s="114">
        <v>7</v>
      </c>
      <c r="C9" s="89">
        <v>900</v>
      </c>
      <c r="D9" s="89">
        <v>240</v>
      </c>
      <c r="E9" s="89">
        <v>180</v>
      </c>
      <c r="F9" s="89">
        <v>0</v>
      </c>
      <c r="G9">
        <v>399.99959999999999</v>
      </c>
    </row>
    <row r="10" spans="2:7" x14ac:dyDescent="0.25">
      <c r="B10" s="114">
        <v>8</v>
      </c>
      <c r="C10" s="89">
        <v>900</v>
      </c>
      <c r="D10" s="89">
        <v>240</v>
      </c>
      <c r="E10" s="89">
        <v>180</v>
      </c>
      <c r="F10" s="89">
        <v>0</v>
      </c>
      <c r="G10">
        <v>399.99959999999999</v>
      </c>
    </row>
    <row r="11" spans="2:7" x14ac:dyDescent="0.25">
      <c r="B11" s="114">
        <v>9</v>
      </c>
      <c r="C11" s="89">
        <v>900</v>
      </c>
      <c r="D11" s="89">
        <v>240</v>
      </c>
      <c r="E11" s="89">
        <v>180</v>
      </c>
      <c r="F11" s="89">
        <v>0</v>
      </c>
      <c r="G11">
        <v>399.99959999999999</v>
      </c>
    </row>
    <row r="12" spans="2:7" x14ac:dyDescent="0.25">
      <c r="B12" s="114">
        <v>10</v>
      </c>
      <c r="C12" s="89">
        <v>900</v>
      </c>
      <c r="D12" s="89">
        <v>240</v>
      </c>
      <c r="E12" s="89">
        <v>180</v>
      </c>
      <c r="F12" s="89">
        <v>0</v>
      </c>
      <c r="G12">
        <v>399.99959999999999</v>
      </c>
    </row>
    <row r="13" spans="2:7" x14ac:dyDescent="0.25">
      <c r="B13" s="114">
        <v>11</v>
      </c>
      <c r="C13" s="89">
        <v>900</v>
      </c>
      <c r="D13" s="89">
        <v>240</v>
      </c>
      <c r="E13" s="89">
        <v>180</v>
      </c>
      <c r="F13" s="89">
        <v>0</v>
      </c>
      <c r="G13">
        <v>399.99959999999999</v>
      </c>
    </row>
    <row r="14" spans="2:7" x14ac:dyDescent="0.25">
      <c r="B14" s="114">
        <v>12</v>
      </c>
      <c r="C14" s="89">
        <v>900</v>
      </c>
      <c r="D14" s="89">
        <v>240</v>
      </c>
      <c r="E14" s="89">
        <v>180</v>
      </c>
      <c r="F14" s="89">
        <v>0</v>
      </c>
      <c r="G14">
        <v>399.99959999999999</v>
      </c>
    </row>
    <row r="15" spans="2:7" x14ac:dyDescent="0.25">
      <c r="B15" s="114">
        <v>13</v>
      </c>
      <c r="C15" s="89">
        <v>900</v>
      </c>
      <c r="D15" s="89">
        <v>240</v>
      </c>
      <c r="E15" s="89">
        <v>180</v>
      </c>
      <c r="F15" s="89">
        <v>0</v>
      </c>
      <c r="G15">
        <v>399.99959999999999</v>
      </c>
    </row>
    <row r="16" spans="2:7" x14ac:dyDescent="0.25">
      <c r="B16" s="114">
        <v>14</v>
      </c>
      <c r="C16" s="89">
        <v>900</v>
      </c>
      <c r="D16" s="89">
        <v>240</v>
      </c>
      <c r="E16" s="89">
        <v>180</v>
      </c>
      <c r="F16" s="89">
        <v>0</v>
      </c>
      <c r="G16">
        <v>399.99959999999999</v>
      </c>
    </row>
    <row r="17" spans="2:7" x14ac:dyDescent="0.25">
      <c r="B17" s="114">
        <v>15</v>
      </c>
      <c r="C17" s="89">
        <v>900</v>
      </c>
      <c r="D17" s="89">
        <v>240</v>
      </c>
      <c r="E17" s="89">
        <v>180</v>
      </c>
      <c r="F17" s="89">
        <v>0</v>
      </c>
      <c r="G17">
        <v>399.99959999999999</v>
      </c>
    </row>
    <row r="18" spans="2:7" x14ac:dyDescent="0.25">
      <c r="B18" s="114">
        <v>16</v>
      </c>
      <c r="C18" s="89">
        <v>900</v>
      </c>
      <c r="D18" s="89">
        <v>240</v>
      </c>
      <c r="E18" s="89">
        <v>180</v>
      </c>
      <c r="F18" s="89">
        <v>0</v>
      </c>
      <c r="G18">
        <v>399.99959999999999</v>
      </c>
    </row>
    <row r="19" spans="2:7" x14ac:dyDescent="0.25">
      <c r="B19" s="114">
        <v>17</v>
      </c>
      <c r="C19" s="89">
        <v>900</v>
      </c>
      <c r="D19" s="89">
        <v>240</v>
      </c>
      <c r="E19" s="89">
        <v>180</v>
      </c>
      <c r="F19" s="89">
        <v>0</v>
      </c>
      <c r="G19">
        <v>399.99959999999999</v>
      </c>
    </row>
    <row r="20" spans="2:7" x14ac:dyDescent="0.25">
      <c r="B20" s="114">
        <v>18</v>
      </c>
      <c r="C20" s="89">
        <v>900</v>
      </c>
      <c r="D20" s="89">
        <v>240</v>
      </c>
      <c r="E20" s="89">
        <v>180</v>
      </c>
      <c r="F20" s="89">
        <v>0</v>
      </c>
      <c r="G20">
        <v>399.99959999999999</v>
      </c>
    </row>
    <row r="21" spans="2:7" x14ac:dyDescent="0.25">
      <c r="B21" s="114">
        <v>19</v>
      </c>
      <c r="C21" s="89">
        <v>900</v>
      </c>
      <c r="D21" s="89">
        <v>240</v>
      </c>
      <c r="E21" s="89">
        <v>180</v>
      </c>
      <c r="F21" s="89">
        <v>0</v>
      </c>
      <c r="G21">
        <v>399.99959999999999</v>
      </c>
    </row>
    <row r="22" spans="2:7" x14ac:dyDescent="0.25">
      <c r="B22" s="114">
        <v>20</v>
      </c>
      <c r="C22" s="89">
        <v>900</v>
      </c>
      <c r="D22" s="89">
        <v>240</v>
      </c>
      <c r="E22" s="89">
        <v>180</v>
      </c>
      <c r="F22" s="89">
        <v>0</v>
      </c>
      <c r="G22">
        <v>399.99959999999999</v>
      </c>
    </row>
    <row r="23" spans="2:7" x14ac:dyDescent="0.25">
      <c r="B23" s="114">
        <v>21</v>
      </c>
      <c r="C23" s="89">
        <v>900</v>
      </c>
      <c r="D23" s="89">
        <v>240</v>
      </c>
      <c r="E23" s="89">
        <v>180</v>
      </c>
      <c r="F23" s="89">
        <v>0</v>
      </c>
      <c r="G23">
        <v>399.99959999999999</v>
      </c>
    </row>
    <row r="24" spans="2:7" x14ac:dyDescent="0.25">
      <c r="B24" s="114">
        <v>22</v>
      </c>
      <c r="C24" s="89">
        <v>900</v>
      </c>
      <c r="D24" s="89">
        <v>240</v>
      </c>
      <c r="E24" s="89">
        <v>180</v>
      </c>
      <c r="F24" s="89">
        <v>0</v>
      </c>
      <c r="G24">
        <v>399.99959999999999</v>
      </c>
    </row>
    <row r="25" spans="2:7" x14ac:dyDescent="0.25">
      <c r="B25" s="114">
        <v>23</v>
      </c>
      <c r="C25" s="89">
        <v>900</v>
      </c>
      <c r="D25" s="89">
        <v>240</v>
      </c>
      <c r="E25" s="89">
        <v>180</v>
      </c>
      <c r="F25" s="89">
        <v>0</v>
      </c>
      <c r="G25">
        <v>399.99959999999999</v>
      </c>
    </row>
    <row r="26" spans="2:7" x14ac:dyDescent="0.25">
      <c r="B26" s="114">
        <v>24</v>
      </c>
      <c r="C26" s="89">
        <v>900</v>
      </c>
      <c r="D26" s="89">
        <v>240</v>
      </c>
      <c r="E26" s="89">
        <v>180</v>
      </c>
      <c r="F26" s="89">
        <v>0</v>
      </c>
      <c r="G26">
        <v>399.99959999999999</v>
      </c>
    </row>
    <row r="27" spans="2:7" x14ac:dyDescent="0.25">
      <c r="B27" s="114">
        <v>25</v>
      </c>
      <c r="C27" s="89">
        <v>900</v>
      </c>
      <c r="D27" s="89">
        <v>240</v>
      </c>
      <c r="E27" s="89">
        <v>180</v>
      </c>
      <c r="F27" s="89">
        <v>0</v>
      </c>
      <c r="G27">
        <v>399.99959999999999</v>
      </c>
    </row>
    <row r="28" spans="2:7" x14ac:dyDescent="0.25">
      <c r="B28" s="114">
        <v>26</v>
      </c>
      <c r="C28" s="89">
        <v>900</v>
      </c>
      <c r="D28" s="89">
        <v>240</v>
      </c>
      <c r="E28" s="89">
        <v>180</v>
      </c>
      <c r="F28" s="89">
        <v>0</v>
      </c>
      <c r="G28">
        <v>399.99959999999999</v>
      </c>
    </row>
    <row r="29" spans="2:7" x14ac:dyDescent="0.25">
      <c r="B29" s="114">
        <v>27</v>
      </c>
      <c r="C29" s="89">
        <v>900</v>
      </c>
      <c r="D29" s="89">
        <v>240</v>
      </c>
      <c r="E29" s="89">
        <v>180</v>
      </c>
      <c r="F29" s="89">
        <v>0</v>
      </c>
      <c r="G29">
        <v>399.99959999999999</v>
      </c>
    </row>
    <row r="30" spans="2:7" x14ac:dyDescent="0.25">
      <c r="B30" s="114">
        <v>28</v>
      </c>
      <c r="C30" s="89">
        <v>900</v>
      </c>
      <c r="D30" s="89">
        <v>240</v>
      </c>
      <c r="E30" s="89">
        <v>180</v>
      </c>
      <c r="F30" s="89">
        <v>0</v>
      </c>
      <c r="G30">
        <v>399.99959999999999</v>
      </c>
    </row>
    <row r="31" spans="2:7" x14ac:dyDescent="0.25">
      <c r="B31" s="114">
        <v>29</v>
      </c>
      <c r="C31" s="89">
        <v>900</v>
      </c>
      <c r="D31" s="89">
        <v>240</v>
      </c>
      <c r="E31" s="89">
        <v>180</v>
      </c>
      <c r="F31" s="89">
        <v>0</v>
      </c>
      <c r="G31">
        <v>399.99959999999999</v>
      </c>
    </row>
    <row r="32" spans="2:7" x14ac:dyDescent="0.25">
      <c r="B32" s="114">
        <v>30</v>
      </c>
      <c r="C32" s="89">
        <v>900</v>
      </c>
      <c r="D32" s="89">
        <v>240</v>
      </c>
      <c r="E32" s="89">
        <v>180</v>
      </c>
      <c r="F32" s="89">
        <v>0</v>
      </c>
      <c r="G32">
        <v>399.99959999999999</v>
      </c>
    </row>
    <row r="33" spans="2:7" x14ac:dyDescent="0.25">
      <c r="B33" s="114">
        <v>31</v>
      </c>
      <c r="C33" s="89">
        <v>900</v>
      </c>
      <c r="D33" s="89">
        <v>240</v>
      </c>
      <c r="E33" s="89">
        <v>180</v>
      </c>
      <c r="F33" s="89">
        <v>0</v>
      </c>
      <c r="G33">
        <v>399.99959999999999</v>
      </c>
    </row>
    <row r="34" spans="2:7" x14ac:dyDescent="0.25">
      <c r="B34" s="114">
        <v>32</v>
      </c>
      <c r="C34" s="89">
        <v>900</v>
      </c>
      <c r="D34" s="89">
        <v>240</v>
      </c>
      <c r="E34" s="89">
        <v>180</v>
      </c>
      <c r="F34" s="89">
        <v>0</v>
      </c>
      <c r="G34">
        <v>399.99959999999999</v>
      </c>
    </row>
    <row r="35" spans="2:7" x14ac:dyDescent="0.25">
      <c r="B35" s="114">
        <v>33</v>
      </c>
      <c r="C35" s="89">
        <v>900</v>
      </c>
      <c r="D35" s="89">
        <v>240</v>
      </c>
      <c r="E35" s="89">
        <v>180</v>
      </c>
      <c r="F35" s="89">
        <v>0</v>
      </c>
      <c r="G35">
        <v>399.99959999999999</v>
      </c>
    </row>
    <row r="36" spans="2:7" x14ac:dyDescent="0.25">
      <c r="B36" s="114">
        <v>34</v>
      </c>
      <c r="C36" s="89">
        <v>900</v>
      </c>
      <c r="D36" s="89">
        <v>240</v>
      </c>
      <c r="E36" s="89">
        <v>180</v>
      </c>
      <c r="F36" s="89">
        <v>0</v>
      </c>
      <c r="G36">
        <v>399.99959999999999</v>
      </c>
    </row>
    <row r="37" spans="2:7" x14ac:dyDescent="0.25">
      <c r="B37" s="114">
        <v>35</v>
      </c>
      <c r="C37" s="89">
        <v>900</v>
      </c>
      <c r="D37" s="89">
        <v>240</v>
      </c>
      <c r="E37" s="89">
        <v>180</v>
      </c>
      <c r="F37" s="89">
        <v>0</v>
      </c>
      <c r="G37">
        <v>399.99959999999999</v>
      </c>
    </row>
    <row r="38" spans="2:7" x14ac:dyDescent="0.25">
      <c r="B38" s="114">
        <v>36</v>
      </c>
      <c r="C38" s="89">
        <v>900</v>
      </c>
      <c r="D38" s="89">
        <v>240</v>
      </c>
      <c r="E38" s="89">
        <v>180</v>
      </c>
      <c r="F38" s="89">
        <v>0</v>
      </c>
      <c r="G38">
        <v>399.99959999999999</v>
      </c>
    </row>
  </sheetData>
  <mergeCells count="1">
    <mergeCell ref="B1:G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7A8F-8234-4FC9-A479-09360DBD2AEF}">
  <sheetPr codeName="Sheet15"/>
  <dimension ref="B1:F38"/>
  <sheetViews>
    <sheetView topLeftCell="B1" workbookViewId="0">
      <selection activeCell="B39" sqref="B39"/>
    </sheetView>
  </sheetViews>
  <sheetFormatPr defaultRowHeight="13.2" x14ac:dyDescent="0.25"/>
  <cols>
    <col min="2" max="2" width="9.109375" style="113"/>
    <col min="3" max="3" width="12.33203125" style="89" bestFit="1" customWidth="1"/>
    <col min="4" max="4" width="11.33203125" style="89" bestFit="1" customWidth="1"/>
    <col min="5" max="6" width="10.33203125" style="89" bestFit="1" customWidth="1"/>
  </cols>
  <sheetData>
    <row r="1" spans="2:6" ht="14.4" x14ac:dyDescent="0.3">
      <c r="B1" s="158" t="s">
        <v>183</v>
      </c>
      <c r="C1" s="158"/>
      <c r="D1" s="158"/>
      <c r="E1" s="158"/>
      <c r="F1" s="158"/>
    </row>
    <row r="2" spans="2:6" ht="14.4" x14ac:dyDescent="0.3">
      <c r="B2" s="72" t="s">
        <v>90</v>
      </c>
      <c r="C2" s="72" t="s">
        <v>184</v>
      </c>
      <c r="D2" s="72" t="s">
        <v>3</v>
      </c>
      <c r="E2" s="72" t="s">
        <v>185</v>
      </c>
      <c r="F2" s="72" t="s">
        <v>186</v>
      </c>
    </row>
    <row r="3" spans="2:6" x14ac:dyDescent="0.25">
      <c r="B3" s="113">
        <v>1</v>
      </c>
    </row>
    <row r="4" spans="2:6" x14ac:dyDescent="0.25">
      <c r="B4" s="113">
        <v>2</v>
      </c>
    </row>
    <row r="5" spans="2:6" x14ac:dyDescent="0.25">
      <c r="B5" s="113">
        <v>3</v>
      </c>
    </row>
    <row r="6" spans="2:6" x14ac:dyDescent="0.25">
      <c r="B6" s="113">
        <v>4</v>
      </c>
    </row>
    <row r="7" spans="2:6" x14ac:dyDescent="0.25">
      <c r="B7" s="113">
        <v>5</v>
      </c>
    </row>
    <row r="8" spans="2:6" x14ac:dyDescent="0.25">
      <c r="B8" s="113">
        <v>6</v>
      </c>
    </row>
    <row r="9" spans="2:6" x14ac:dyDescent="0.25">
      <c r="B9" s="113">
        <v>7</v>
      </c>
    </row>
    <row r="10" spans="2:6" x14ac:dyDescent="0.25">
      <c r="B10" s="113">
        <v>8</v>
      </c>
    </row>
    <row r="11" spans="2:6" x14ac:dyDescent="0.25">
      <c r="B11" s="113">
        <v>9</v>
      </c>
    </row>
    <row r="12" spans="2:6" x14ac:dyDescent="0.25">
      <c r="B12" s="113">
        <v>10</v>
      </c>
    </row>
    <row r="13" spans="2:6" x14ac:dyDescent="0.25">
      <c r="B13" s="113">
        <v>11</v>
      </c>
    </row>
    <row r="14" spans="2:6" x14ac:dyDescent="0.25">
      <c r="B14" s="113">
        <v>12</v>
      </c>
    </row>
    <row r="15" spans="2:6" x14ac:dyDescent="0.25">
      <c r="B15" s="113">
        <v>13</v>
      </c>
    </row>
    <row r="16" spans="2:6" x14ac:dyDescent="0.25">
      <c r="B16" s="113">
        <v>14</v>
      </c>
    </row>
    <row r="17" spans="2:6" x14ac:dyDescent="0.25">
      <c r="B17" s="113">
        <v>15</v>
      </c>
    </row>
    <row r="18" spans="2:6" x14ac:dyDescent="0.25">
      <c r="B18" s="113">
        <v>16</v>
      </c>
    </row>
    <row r="19" spans="2:6" x14ac:dyDescent="0.25">
      <c r="B19" s="113">
        <v>17</v>
      </c>
    </row>
    <row r="20" spans="2:6" x14ac:dyDescent="0.25">
      <c r="B20" s="113">
        <v>18</v>
      </c>
    </row>
    <row r="21" spans="2:6" x14ac:dyDescent="0.25">
      <c r="B21" s="113">
        <v>19</v>
      </c>
    </row>
    <row r="22" spans="2:6" x14ac:dyDescent="0.25">
      <c r="B22" s="113">
        <v>20</v>
      </c>
    </row>
    <row r="23" spans="2:6" x14ac:dyDescent="0.25">
      <c r="B23" s="113">
        <v>21</v>
      </c>
    </row>
    <row r="24" spans="2:6" x14ac:dyDescent="0.25">
      <c r="B24" s="113">
        <v>22</v>
      </c>
      <c r="C24" s="89">
        <v>50000</v>
      </c>
      <c r="D24" s="89">
        <v>12000</v>
      </c>
      <c r="E24" s="89">
        <v>3000</v>
      </c>
      <c r="F24" s="89">
        <v>1500</v>
      </c>
    </row>
    <row r="25" spans="2:6" x14ac:dyDescent="0.25">
      <c r="B25" s="113">
        <v>23</v>
      </c>
      <c r="C25" s="89">
        <v>50000</v>
      </c>
      <c r="D25" s="89">
        <v>12000</v>
      </c>
      <c r="E25" s="89">
        <v>3000</v>
      </c>
      <c r="F25" s="89">
        <v>1500</v>
      </c>
    </row>
    <row r="26" spans="2:6" x14ac:dyDescent="0.25">
      <c r="B26" s="113">
        <v>24</v>
      </c>
      <c r="C26" s="89">
        <v>100000</v>
      </c>
      <c r="D26" s="89">
        <v>24000</v>
      </c>
      <c r="E26" s="89">
        <v>6000</v>
      </c>
      <c r="F26" s="89">
        <v>3000</v>
      </c>
    </row>
    <row r="27" spans="2:6" x14ac:dyDescent="0.25">
      <c r="B27" s="113">
        <v>25</v>
      </c>
      <c r="C27" s="89">
        <v>100000</v>
      </c>
      <c r="D27" s="89">
        <v>24000</v>
      </c>
      <c r="E27" s="89">
        <v>6000</v>
      </c>
      <c r="F27" s="89">
        <v>3000</v>
      </c>
    </row>
    <row r="28" spans="2:6" x14ac:dyDescent="0.25">
      <c r="B28" s="113">
        <v>26</v>
      </c>
      <c r="C28" s="89">
        <v>50000</v>
      </c>
      <c r="D28" s="89">
        <v>12000</v>
      </c>
      <c r="E28" s="89">
        <v>3000</v>
      </c>
      <c r="F28" s="89">
        <v>1500</v>
      </c>
    </row>
    <row r="29" spans="2:6" x14ac:dyDescent="0.25">
      <c r="B29" s="113">
        <v>27</v>
      </c>
      <c r="C29" s="89">
        <v>50000</v>
      </c>
      <c r="D29" s="89">
        <v>12000</v>
      </c>
      <c r="E29" s="89">
        <v>3000</v>
      </c>
      <c r="F29" s="89">
        <v>1500</v>
      </c>
    </row>
    <row r="30" spans="2:6" x14ac:dyDescent="0.25">
      <c r="B30" s="113">
        <v>28</v>
      </c>
    </row>
    <row r="31" spans="2:6" x14ac:dyDescent="0.25">
      <c r="B31" s="113">
        <v>29</v>
      </c>
    </row>
    <row r="32" spans="2:6" x14ac:dyDescent="0.25">
      <c r="B32" s="113">
        <v>30</v>
      </c>
    </row>
    <row r="33" spans="2:2" x14ac:dyDescent="0.25">
      <c r="B33" s="113">
        <v>31</v>
      </c>
    </row>
    <row r="34" spans="2:2" x14ac:dyDescent="0.25">
      <c r="B34" s="113">
        <v>32</v>
      </c>
    </row>
    <row r="35" spans="2:2" x14ac:dyDescent="0.25">
      <c r="B35" s="113">
        <v>33</v>
      </c>
    </row>
    <row r="36" spans="2:2" x14ac:dyDescent="0.25">
      <c r="B36" s="113">
        <v>34</v>
      </c>
    </row>
    <row r="37" spans="2:2" x14ac:dyDescent="0.25">
      <c r="B37" s="113">
        <v>35</v>
      </c>
    </row>
    <row r="38" spans="2:2" x14ac:dyDescent="0.25">
      <c r="B38" s="113">
        <v>36</v>
      </c>
    </row>
  </sheetData>
  <mergeCells count="1">
    <mergeCell ref="B1:F1"/>
  </mergeCells>
  <pageMargins left="0.7" right="0.7" top="0.75" bottom="0.75" header="0.3" footer="0.3"/>
  <pageSetup orientation="portrait" horizontalDpi="4294967292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C5AFF-3338-4DF6-B497-41E46811C7EF}">
  <sheetPr codeName="Sheet16"/>
  <dimension ref="B1:D38"/>
  <sheetViews>
    <sheetView workbookViewId="0">
      <selection activeCell="B39" sqref="B39"/>
    </sheetView>
  </sheetViews>
  <sheetFormatPr defaultRowHeight="13.2" x14ac:dyDescent="0.25"/>
  <cols>
    <col min="2" max="2" width="9.109375" style="113"/>
    <col min="3" max="3" width="12.33203125" style="89" bestFit="1" customWidth="1"/>
    <col min="4" max="4" width="11.33203125" style="89" bestFit="1" customWidth="1"/>
  </cols>
  <sheetData>
    <row r="1" spans="2:4" ht="14.4" x14ac:dyDescent="0.3">
      <c r="B1" s="158" t="s">
        <v>183</v>
      </c>
      <c r="C1" s="158"/>
      <c r="D1" s="158"/>
    </row>
    <row r="2" spans="2:4" ht="14.4" x14ac:dyDescent="0.3">
      <c r="B2" s="72" t="s">
        <v>90</v>
      </c>
      <c r="C2" s="72" t="s">
        <v>190</v>
      </c>
      <c r="D2" s="72" t="s">
        <v>51</v>
      </c>
    </row>
    <row r="3" spans="2:4" x14ac:dyDescent="0.25">
      <c r="B3" s="113">
        <v>1</v>
      </c>
      <c r="C3" s="89">
        <v>2400</v>
      </c>
      <c r="D3" s="89">
        <v>1200</v>
      </c>
    </row>
    <row r="4" spans="2:4" x14ac:dyDescent="0.25">
      <c r="B4" s="113">
        <v>2</v>
      </c>
      <c r="C4" s="89">
        <v>2420.5714285714289</v>
      </c>
      <c r="D4" s="89">
        <v>1200</v>
      </c>
    </row>
    <row r="5" spans="2:4" x14ac:dyDescent="0.25">
      <c r="B5" s="113">
        <v>3</v>
      </c>
      <c r="C5" s="89">
        <v>2441.1428571428569</v>
      </c>
      <c r="D5" s="89">
        <v>1200</v>
      </c>
    </row>
    <row r="6" spans="2:4" x14ac:dyDescent="0.25">
      <c r="B6" s="113">
        <v>4</v>
      </c>
      <c r="C6" s="89">
        <v>3077.142875</v>
      </c>
      <c r="D6" s="89">
        <v>1200</v>
      </c>
    </row>
    <row r="7" spans="2:4" x14ac:dyDescent="0.25">
      <c r="B7" s="113">
        <v>5</v>
      </c>
      <c r="C7" s="89">
        <v>3102.857125</v>
      </c>
      <c r="D7" s="89">
        <v>1200</v>
      </c>
    </row>
    <row r="8" spans="2:4" x14ac:dyDescent="0.25">
      <c r="B8" s="113">
        <v>6</v>
      </c>
      <c r="C8" s="89">
        <v>3910.71425</v>
      </c>
      <c r="D8" s="89">
        <v>1200</v>
      </c>
    </row>
    <row r="9" spans="2:4" x14ac:dyDescent="0.25">
      <c r="B9" s="113">
        <v>7</v>
      </c>
      <c r="C9" s="89">
        <v>3942.85725</v>
      </c>
      <c r="D9" s="89">
        <v>1200</v>
      </c>
    </row>
    <row r="10" spans="2:4" x14ac:dyDescent="0.25">
      <c r="B10" s="113">
        <v>8</v>
      </c>
      <c r="C10" s="89">
        <v>3975</v>
      </c>
      <c r="D10" s="89">
        <v>1200</v>
      </c>
    </row>
    <row r="11" spans="2:4" x14ac:dyDescent="0.25">
      <c r="B11" s="113">
        <v>9</v>
      </c>
      <c r="C11" s="89">
        <v>4007.14275</v>
      </c>
      <c r="D11" s="89">
        <v>1200</v>
      </c>
    </row>
    <row r="12" spans="2:4" x14ac:dyDescent="0.25">
      <c r="B12" s="113">
        <v>10</v>
      </c>
      <c r="C12" s="89">
        <v>4039.28575</v>
      </c>
      <c r="D12" s="89">
        <v>1200</v>
      </c>
    </row>
    <row r="13" spans="2:4" x14ac:dyDescent="0.25">
      <c r="B13" s="113">
        <v>11</v>
      </c>
      <c r="C13" s="89">
        <v>4071.4286249999996</v>
      </c>
      <c r="D13" s="89">
        <v>1200</v>
      </c>
    </row>
    <row r="14" spans="2:4" x14ac:dyDescent="0.25">
      <c r="B14" s="113">
        <v>12</v>
      </c>
      <c r="C14" s="89">
        <v>4103.5713750000004</v>
      </c>
      <c r="D14" s="89">
        <v>1200</v>
      </c>
    </row>
    <row r="15" spans="2:4" x14ac:dyDescent="0.25">
      <c r="B15" s="113">
        <v>13</v>
      </c>
      <c r="C15" s="89">
        <v>4135.71425</v>
      </c>
      <c r="D15" s="89">
        <v>1200</v>
      </c>
    </row>
    <row r="16" spans="2:4" x14ac:dyDescent="0.25">
      <c r="B16" s="113">
        <v>14</v>
      </c>
      <c r="C16" s="89">
        <v>4167.85725</v>
      </c>
      <c r="D16" s="89">
        <v>1200</v>
      </c>
    </row>
    <row r="17" spans="2:4" x14ac:dyDescent="0.25">
      <c r="B17" s="113">
        <v>15</v>
      </c>
      <c r="C17" s="89">
        <v>4200</v>
      </c>
      <c r="D17" s="89">
        <v>1200</v>
      </c>
    </row>
    <row r="18" spans="2:4" x14ac:dyDescent="0.25">
      <c r="B18" s="113">
        <v>16</v>
      </c>
      <c r="C18" s="89">
        <v>4232.14275</v>
      </c>
      <c r="D18" s="89">
        <v>1200</v>
      </c>
    </row>
    <row r="19" spans="2:4" x14ac:dyDescent="0.25">
      <c r="B19" s="113">
        <v>17</v>
      </c>
      <c r="C19" s="89">
        <v>4264.28575</v>
      </c>
      <c r="D19" s="89">
        <v>1200</v>
      </c>
    </row>
    <row r="20" spans="2:4" x14ac:dyDescent="0.25">
      <c r="B20" s="113">
        <v>18</v>
      </c>
      <c r="C20" s="89">
        <v>4296.4286249999996</v>
      </c>
      <c r="D20" s="89">
        <v>1200</v>
      </c>
    </row>
    <row r="21" spans="2:4" x14ac:dyDescent="0.25">
      <c r="B21" s="113">
        <v>19</v>
      </c>
      <c r="C21" s="89">
        <v>4328.5713750000004</v>
      </c>
      <c r="D21" s="89">
        <v>1200</v>
      </c>
    </row>
    <row r="22" spans="2:4" x14ac:dyDescent="0.25">
      <c r="B22" s="113">
        <v>20</v>
      </c>
      <c r="C22" s="89">
        <v>4360.71425</v>
      </c>
      <c r="D22" s="89">
        <v>1200</v>
      </c>
    </row>
    <row r="23" spans="2:4" x14ac:dyDescent="0.25">
      <c r="B23" s="113">
        <v>21</v>
      </c>
      <c r="C23" s="89">
        <v>4392.85725</v>
      </c>
      <c r="D23" s="89">
        <v>1200</v>
      </c>
    </row>
    <row r="24" spans="2:4" x14ac:dyDescent="0.25">
      <c r="B24" s="113">
        <v>22</v>
      </c>
      <c r="C24" s="89">
        <v>4425</v>
      </c>
      <c r="D24" s="89">
        <v>1200</v>
      </c>
    </row>
    <row r="25" spans="2:4" x14ac:dyDescent="0.25">
      <c r="B25" s="113">
        <v>23</v>
      </c>
      <c r="C25" s="89">
        <v>4457.14275</v>
      </c>
      <c r="D25" s="89">
        <v>1200</v>
      </c>
    </row>
    <row r="26" spans="2:4" x14ac:dyDescent="0.25">
      <c r="B26" s="113">
        <v>24</v>
      </c>
      <c r="C26" s="89">
        <v>4489.28575</v>
      </c>
      <c r="D26" s="89">
        <v>1200</v>
      </c>
    </row>
    <row r="27" spans="2:4" x14ac:dyDescent="0.25">
      <c r="B27" s="113">
        <v>25</v>
      </c>
      <c r="C27" s="89">
        <v>4521.4286249999996</v>
      </c>
      <c r="D27" s="89">
        <v>1200</v>
      </c>
    </row>
    <row r="28" spans="2:4" x14ac:dyDescent="0.25">
      <c r="B28" s="113">
        <v>26</v>
      </c>
      <c r="C28" s="89">
        <v>3642.857125</v>
      </c>
      <c r="D28" s="89">
        <v>1200</v>
      </c>
    </row>
    <row r="29" spans="2:4" x14ac:dyDescent="0.25">
      <c r="B29" s="113">
        <v>27</v>
      </c>
      <c r="C29" s="89">
        <v>3668.5713750000004</v>
      </c>
      <c r="D29" s="89">
        <v>1200</v>
      </c>
    </row>
    <row r="30" spans="2:4" x14ac:dyDescent="0.25">
      <c r="B30" s="113">
        <v>28</v>
      </c>
      <c r="C30" s="89">
        <v>2955.4285714285711</v>
      </c>
      <c r="D30" s="89">
        <v>1200</v>
      </c>
    </row>
    <row r="31" spans="2:4" x14ac:dyDescent="0.25">
      <c r="B31" s="113">
        <v>29</v>
      </c>
      <c r="C31" s="89">
        <v>2976</v>
      </c>
      <c r="D31" s="89">
        <v>1200</v>
      </c>
    </row>
    <row r="32" spans="2:4" x14ac:dyDescent="0.25">
      <c r="B32" s="113">
        <v>30</v>
      </c>
      <c r="C32" s="89">
        <v>2996.5714285714289</v>
      </c>
      <c r="D32" s="89">
        <v>1200</v>
      </c>
    </row>
    <row r="33" spans="2:4" x14ac:dyDescent="0.25">
      <c r="B33" s="113">
        <v>31</v>
      </c>
      <c r="C33" s="89">
        <v>3017.1428571428569</v>
      </c>
      <c r="D33" s="89">
        <v>1200</v>
      </c>
    </row>
    <row r="34" spans="2:4" x14ac:dyDescent="0.25">
      <c r="B34" s="113">
        <v>32</v>
      </c>
      <c r="C34" s="89">
        <v>3037.7142857142853</v>
      </c>
      <c r="D34" s="89">
        <v>1200</v>
      </c>
    </row>
    <row r="35" spans="2:4" x14ac:dyDescent="0.25">
      <c r="B35" s="113">
        <v>33</v>
      </c>
      <c r="C35" s="89">
        <v>3058.2857142857142</v>
      </c>
      <c r="D35" s="89">
        <v>1200</v>
      </c>
    </row>
    <row r="36" spans="2:4" x14ac:dyDescent="0.25">
      <c r="B36" s="113">
        <v>34</v>
      </c>
      <c r="C36" s="89">
        <v>3078.8571428571431</v>
      </c>
      <c r="D36" s="89">
        <v>1200</v>
      </c>
    </row>
    <row r="37" spans="2:4" x14ac:dyDescent="0.25">
      <c r="B37" s="113">
        <v>35</v>
      </c>
      <c r="C37" s="89">
        <v>3099.4285714285711</v>
      </c>
      <c r="D37" s="89">
        <v>1200</v>
      </c>
    </row>
    <row r="38" spans="2:4" x14ac:dyDescent="0.25">
      <c r="B38" s="113">
        <v>36</v>
      </c>
      <c r="C38" s="89">
        <v>3120</v>
      </c>
      <c r="D38" s="89">
        <v>1200</v>
      </c>
    </row>
  </sheetData>
  <mergeCells count="1">
    <mergeCell ref="B1:D1"/>
  </mergeCells>
  <pageMargins left="0.7" right="0.7" top="0.75" bottom="0.75" header="0.3" footer="0.3"/>
  <pageSetup orientation="portrait" horizontalDpi="4294967292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2708-B223-4561-BC08-EF8112CCA98F}">
  <sheetPr codeName="Sheet17"/>
  <dimension ref="B1:D2"/>
  <sheetViews>
    <sheetView workbookViewId="0">
      <selection activeCell="C2" sqref="C1:C1048576"/>
    </sheetView>
  </sheetViews>
  <sheetFormatPr defaultRowHeight="13.2" x14ac:dyDescent="0.25"/>
  <cols>
    <col min="2" max="2" width="9.109375" style="113"/>
    <col min="3" max="4" width="13.5546875" bestFit="1" customWidth="1"/>
  </cols>
  <sheetData>
    <row r="1" spans="2:4" ht="14.4" x14ac:dyDescent="0.3">
      <c r="B1" s="158" t="s">
        <v>207</v>
      </c>
      <c r="C1" s="158"/>
      <c r="D1" s="158"/>
    </row>
    <row r="2" spans="2:4" ht="14.4" x14ac:dyDescent="0.3">
      <c r="B2" s="72" t="s">
        <v>90</v>
      </c>
      <c r="C2" s="133" t="s">
        <v>201</v>
      </c>
      <c r="D2" s="133" t="s">
        <v>202</v>
      </c>
    </row>
  </sheetData>
  <mergeCells count="1">
    <mergeCell ref="B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3B1E-29F0-4E5A-93DF-4D257D84FA2C}">
  <sheetPr codeName="Sheet2"/>
  <dimension ref="A1:E19"/>
  <sheetViews>
    <sheetView workbookViewId="0">
      <selection activeCell="C6" sqref="C6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8.44140625" bestFit="1" customWidth="1"/>
    <col min="5" max="5" width="11.33203125" customWidth="1"/>
  </cols>
  <sheetData>
    <row r="1" spans="1:5" ht="14.4" x14ac:dyDescent="0.3">
      <c r="B1" s="158" t="s">
        <v>74</v>
      </c>
      <c r="C1" s="158"/>
      <c r="D1" s="158"/>
      <c r="E1" s="158"/>
    </row>
    <row r="2" spans="1:5" ht="14.4" x14ac:dyDescent="0.3">
      <c r="B2" s="72" t="s">
        <v>75</v>
      </c>
      <c r="C2" s="72" t="s">
        <v>76</v>
      </c>
      <c r="D2" s="72" t="s">
        <v>77</v>
      </c>
      <c r="E2" s="72" t="s">
        <v>78</v>
      </c>
    </row>
    <row r="3" spans="1:5" x14ac:dyDescent="0.25">
      <c r="A3" s="73" t="s">
        <v>71</v>
      </c>
      <c r="B3" s="69">
        <v>0</v>
      </c>
      <c r="C3" s="69">
        <v>9875</v>
      </c>
      <c r="D3" s="66">
        <v>0.1</v>
      </c>
      <c r="E3" s="69">
        <v>0</v>
      </c>
    </row>
    <row r="4" spans="1:5" x14ac:dyDescent="0.25">
      <c r="A4" s="73"/>
      <c r="B4" s="69">
        <f t="shared" ref="B4:B9" si="0">C3+1</f>
        <v>9876</v>
      </c>
      <c r="C4" s="69">
        <v>40125</v>
      </c>
      <c r="D4" s="66">
        <v>0.12</v>
      </c>
      <c r="E4" s="70">
        <f>(C3-B3)*D3+SUM(E$3:E3)</f>
        <v>987.5</v>
      </c>
    </row>
    <row r="5" spans="1:5" x14ac:dyDescent="0.25">
      <c r="A5" s="73"/>
      <c r="B5" s="69">
        <f t="shared" si="0"/>
        <v>40126</v>
      </c>
      <c r="C5" s="69">
        <v>85525</v>
      </c>
      <c r="D5" s="66">
        <v>0.22</v>
      </c>
      <c r="E5" s="70">
        <f>(C4-B4)*D4+SUM(E$3:E4)</f>
        <v>4617.3799999999992</v>
      </c>
    </row>
    <row r="6" spans="1:5" x14ac:dyDescent="0.25">
      <c r="A6" s="73"/>
      <c r="B6" s="69">
        <f t="shared" si="0"/>
        <v>85526</v>
      </c>
      <c r="C6" s="69">
        <v>163300</v>
      </c>
      <c r="D6" s="66">
        <v>0.24</v>
      </c>
      <c r="E6" s="70">
        <f>(C5-B5)*D5+SUM(E$3:E5)</f>
        <v>15592.66</v>
      </c>
    </row>
    <row r="7" spans="1:5" x14ac:dyDescent="0.25">
      <c r="A7" s="73"/>
      <c r="B7" s="69">
        <f t="shared" si="0"/>
        <v>163301</v>
      </c>
      <c r="C7" s="69">
        <v>207350</v>
      </c>
      <c r="D7" s="66">
        <v>0.32</v>
      </c>
      <c r="E7" s="70">
        <f>(C6-B6)*D6+SUM(E$3:E6)</f>
        <v>39863.300000000003</v>
      </c>
    </row>
    <row r="8" spans="1:5" x14ac:dyDescent="0.25">
      <c r="A8" s="73"/>
      <c r="B8" s="69">
        <f t="shared" si="0"/>
        <v>207351</v>
      </c>
      <c r="C8" s="69">
        <v>518400</v>
      </c>
      <c r="D8" s="66">
        <v>0.35</v>
      </c>
      <c r="E8" s="70">
        <f>(C7-B7)*D7+SUM(E$3:E7)</f>
        <v>75156.52</v>
      </c>
    </row>
    <row r="9" spans="1:5" x14ac:dyDescent="0.25">
      <c r="A9" s="73"/>
      <c r="B9" s="69">
        <f t="shared" si="0"/>
        <v>518401</v>
      </c>
      <c r="C9" s="71">
        <v>1000000000</v>
      </c>
      <c r="D9" s="66">
        <v>0.37</v>
      </c>
      <c r="E9" s="70">
        <f>(C8-B8)*D8+SUM(E$3:E8)</f>
        <v>245084.51</v>
      </c>
    </row>
    <row r="10" spans="1:5" x14ac:dyDescent="0.25">
      <c r="A10" s="73"/>
    </row>
    <row r="11" spans="1:5" x14ac:dyDescent="0.25">
      <c r="A11" s="73" t="s">
        <v>79</v>
      </c>
      <c r="B11" s="69">
        <v>0</v>
      </c>
      <c r="C11" s="69">
        <v>19750</v>
      </c>
      <c r="D11" s="66">
        <v>0.1</v>
      </c>
      <c r="E11" s="69">
        <v>0</v>
      </c>
    </row>
    <row r="12" spans="1:5" x14ac:dyDescent="0.25">
      <c r="B12" s="69">
        <f t="shared" ref="B12:B17" si="1">C11+1</f>
        <v>19751</v>
      </c>
      <c r="C12" s="69">
        <v>80250</v>
      </c>
      <c r="D12" s="66">
        <v>0.12</v>
      </c>
      <c r="E12" s="70">
        <f>(C11-B11)*D11+SUM(E$11:E11)</f>
        <v>1975</v>
      </c>
    </row>
    <row r="13" spans="1:5" x14ac:dyDescent="0.25">
      <c r="B13" s="69">
        <f t="shared" si="1"/>
        <v>80251</v>
      </c>
      <c r="C13" s="69">
        <v>171050</v>
      </c>
      <c r="D13" s="66">
        <v>0.22</v>
      </c>
      <c r="E13" s="70">
        <f>(C12-B12)*D12+SUM(E$11:E12)</f>
        <v>9234.880000000001</v>
      </c>
    </row>
    <row r="14" spans="1:5" x14ac:dyDescent="0.25">
      <c r="B14" s="69">
        <f t="shared" si="1"/>
        <v>171051</v>
      </c>
      <c r="C14" s="69">
        <v>326600</v>
      </c>
      <c r="D14" s="66">
        <v>0.24</v>
      </c>
      <c r="E14" s="70">
        <f>(C13-B13)*D13+SUM(E$11:E13)</f>
        <v>31185.66</v>
      </c>
    </row>
    <row r="15" spans="1:5" x14ac:dyDescent="0.25">
      <c r="B15" s="69">
        <f t="shared" si="1"/>
        <v>326601</v>
      </c>
      <c r="C15" s="69">
        <v>414700</v>
      </c>
      <c r="D15" s="66">
        <v>0.32</v>
      </c>
      <c r="E15" s="70">
        <f>(C14-B14)*D14+SUM(E$11:E14)</f>
        <v>79727.3</v>
      </c>
    </row>
    <row r="16" spans="1:5" x14ac:dyDescent="0.25">
      <c r="B16" s="69">
        <f t="shared" si="1"/>
        <v>414701</v>
      </c>
      <c r="C16" s="69">
        <v>622050</v>
      </c>
      <c r="D16" s="66">
        <v>0.35</v>
      </c>
      <c r="E16" s="70">
        <f>(C15-B15)*D15+SUM(E$11:E15)</f>
        <v>150314.51999999999</v>
      </c>
    </row>
    <row r="17" spans="1:5" x14ac:dyDescent="0.25">
      <c r="B17" s="69">
        <f t="shared" si="1"/>
        <v>622051</v>
      </c>
      <c r="C17" s="71">
        <v>1000000000</v>
      </c>
      <c r="D17" s="66">
        <v>0.37</v>
      </c>
      <c r="E17" s="70">
        <f>(C16-B16)*D16+SUM(E$11:E16)</f>
        <v>345009.51</v>
      </c>
    </row>
    <row r="19" spans="1:5" x14ac:dyDescent="0.25">
      <c r="A19" s="65"/>
    </row>
  </sheetData>
  <mergeCells count="1">
    <mergeCell ref="B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FD414-D850-402F-8F68-BB57E5CE0A6B}">
  <sheetPr codeName="Sheet3"/>
  <dimension ref="A1:E7"/>
  <sheetViews>
    <sheetView workbookViewId="0">
      <selection activeCell="C6" sqref="C6"/>
    </sheetView>
  </sheetViews>
  <sheetFormatPr defaultRowHeight="13.2" x14ac:dyDescent="0.25"/>
  <cols>
    <col min="1" max="1" width="15.109375" bestFit="1" customWidth="1"/>
    <col min="2" max="2" width="12.6640625" bestFit="1" customWidth="1"/>
    <col min="3" max="3" width="16.5546875" bestFit="1" customWidth="1"/>
  </cols>
  <sheetData>
    <row r="1" spans="1:5" ht="14.4" x14ac:dyDescent="0.3">
      <c r="B1" s="158" t="s">
        <v>81</v>
      </c>
      <c r="C1" s="158"/>
      <c r="D1" s="158"/>
      <c r="E1" s="158"/>
    </row>
    <row r="2" spans="1:5" ht="14.4" x14ac:dyDescent="0.3">
      <c r="B2" s="72" t="s">
        <v>75</v>
      </c>
      <c r="C2" s="72" t="s">
        <v>76</v>
      </c>
      <c r="D2" s="72" t="s">
        <v>77</v>
      </c>
      <c r="E2" s="72" t="s">
        <v>78</v>
      </c>
    </row>
    <row r="3" spans="1:5" x14ac:dyDescent="0.25">
      <c r="A3" s="77" t="s">
        <v>65</v>
      </c>
      <c r="B3" s="69">
        <v>0</v>
      </c>
      <c r="C3" s="69">
        <v>137700</v>
      </c>
      <c r="D3" s="74">
        <v>6.2E-2</v>
      </c>
      <c r="E3" s="68">
        <v>0</v>
      </c>
    </row>
    <row r="4" spans="1:5" x14ac:dyDescent="0.25">
      <c r="B4" s="69">
        <f>C3+1</f>
        <v>137701</v>
      </c>
      <c r="C4" s="71">
        <v>1000000000</v>
      </c>
      <c r="D4" s="74">
        <v>0</v>
      </c>
      <c r="E4" s="70">
        <f>(C3-B3)*D3+SUM(E$3:E3)</f>
        <v>8537.4</v>
      </c>
    </row>
    <row r="5" spans="1:5" x14ac:dyDescent="0.25">
      <c r="B5" s="70"/>
      <c r="C5" s="70"/>
    </row>
    <row r="6" spans="1:5" x14ac:dyDescent="0.25">
      <c r="A6" s="77" t="s">
        <v>66</v>
      </c>
      <c r="B6" s="69">
        <v>0</v>
      </c>
      <c r="C6" s="69">
        <v>200000</v>
      </c>
      <c r="D6" s="75">
        <v>1.4500000000000001E-2</v>
      </c>
      <c r="E6" s="68">
        <v>0</v>
      </c>
    </row>
    <row r="7" spans="1:5" x14ac:dyDescent="0.25">
      <c r="B7" s="69">
        <f>C6+1</f>
        <v>200001</v>
      </c>
      <c r="C7" s="71">
        <v>1000000000</v>
      </c>
      <c r="D7" s="74">
        <f>1.45%+0.9%</f>
        <v>2.35E-2</v>
      </c>
      <c r="E7" s="70">
        <f>(C6-B6)*D6+SUM(E$6:E6)</f>
        <v>2900</v>
      </c>
    </row>
  </sheetData>
  <mergeCells count="1">
    <mergeCell ref="B1:E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64494-4973-4970-93F0-ACE53AADB358}">
  <sheetPr codeName="Sheet4"/>
  <dimension ref="A1:E18"/>
  <sheetViews>
    <sheetView workbookViewId="0">
      <selection activeCell="C7" sqref="C7"/>
    </sheetView>
  </sheetViews>
  <sheetFormatPr defaultRowHeight="13.2" x14ac:dyDescent="0.25"/>
  <cols>
    <col min="2" max="2" width="12.5546875" bestFit="1" customWidth="1"/>
    <col min="3" max="3" width="15" bestFit="1" customWidth="1"/>
    <col min="4" max="4" width="10.33203125" customWidth="1"/>
    <col min="5" max="5" width="14.44140625" customWidth="1"/>
  </cols>
  <sheetData>
    <row r="1" spans="1:5" ht="14.4" x14ac:dyDescent="0.3">
      <c r="B1" s="158" t="s">
        <v>80</v>
      </c>
      <c r="C1" s="158"/>
      <c r="D1" s="158"/>
      <c r="E1" s="158"/>
    </row>
    <row r="2" spans="1:5" ht="14.4" x14ac:dyDescent="0.3">
      <c r="B2" s="72" t="s">
        <v>75</v>
      </c>
      <c r="C2" s="72" t="s">
        <v>76</v>
      </c>
      <c r="D2" s="72" t="s">
        <v>77</v>
      </c>
      <c r="E2" s="72" t="s">
        <v>78</v>
      </c>
    </row>
    <row r="3" spans="1:5" x14ac:dyDescent="0.25">
      <c r="A3" s="73" t="s">
        <v>71</v>
      </c>
      <c r="B3" s="69">
        <v>0</v>
      </c>
      <c r="C3" s="69">
        <v>20000</v>
      </c>
      <c r="D3" s="76">
        <v>1.4E-2</v>
      </c>
      <c r="E3" s="69">
        <v>0</v>
      </c>
    </row>
    <row r="4" spans="1:5" x14ac:dyDescent="0.25">
      <c r="A4" s="73"/>
      <c r="B4" s="69">
        <f t="shared" ref="B4:B9" si="0">C3+1</f>
        <v>20001</v>
      </c>
      <c r="C4" s="69">
        <v>35000</v>
      </c>
      <c r="D4" s="76">
        <v>1.7500000000000002E-2</v>
      </c>
      <c r="E4" s="70">
        <f>(C3-B3)*D3+SUM(E$3:E3)</f>
        <v>280</v>
      </c>
    </row>
    <row r="5" spans="1:5" x14ac:dyDescent="0.25">
      <c r="A5" s="73"/>
      <c r="B5" s="69">
        <f t="shared" si="0"/>
        <v>35001</v>
      </c>
      <c r="C5" s="69">
        <v>40000</v>
      </c>
      <c r="D5" s="76">
        <v>3.5000000000000003E-2</v>
      </c>
      <c r="E5" s="70">
        <f>(C4-B4)*D4+SUM(E$3:E4)</f>
        <v>542.48250000000007</v>
      </c>
    </row>
    <row r="6" spans="1:5" x14ac:dyDescent="0.25">
      <c r="A6" s="73"/>
      <c r="B6" s="69">
        <f t="shared" si="0"/>
        <v>40001</v>
      </c>
      <c r="C6" s="69">
        <v>75000</v>
      </c>
      <c r="D6" s="76">
        <v>5.525E-2</v>
      </c>
      <c r="E6" s="70">
        <f>(C5-B5)*D5+SUM(E$3:E5)</f>
        <v>997.4475000000001</v>
      </c>
    </row>
    <row r="7" spans="1:5" x14ac:dyDescent="0.25">
      <c r="A7" s="73"/>
      <c r="B7" s="69">
        <f t="shared" si="0"/>
        <v>75001</v>
      </c>
      <c r="C7" s="69">
        <v>500000</v>
      </c>
      <c r="D7" s="76">
        <v>6.3700000000000007E-2</v>
      </c>
      <c r="E7" s="70">
        <f>(C6-B6)*D6+SUM(E$3:E6)</f>
        <v>3753.6247500000004</v>
      </c>
    </row>
    <row r="8" spans="1:5" x14ac:dyDescent="0.25">
      <c r="A8" s="73"/>
      <c r="B8" s="69">
        <f t="shared" si="0"/>
        <v>500001</v>
      </c>
      <c r="C8" s="69">
        <v>5000000</v>
      </c>
      <c r="D8" s="76">
        <v>8.9700000000000002E-2</v>
      </c>
      <c r="E8" s="70">
        <f>(C7-B7)*D7+SUM(E$3:E7)</f>
        <v>32645.991050000004</v>
      </c>
    </row>
    <row r="9" spans="1:5" x14ac:dyDescent="0.25">
      <c r="A9" s="73"/>
      <c r="B9" s="69">
        <f t="shared" si="0"/>
        <v>5000001</v>
      </c>
      <c r="C9" s="71">
        <v>1000000000</v>
      </c>
      <c r="D9" s="76">
        <v>0.1075</v>
      </c>
      <c r="E9" s="70">
        <f>(C8-B8)*D8+SUM(E$3:E8)</f>
        <v>441869.45610000001</v>
      </c>
    </row>
    <row r="10" spans="1:5" x14ac:dyDescent="0.25">
      <c r="A10" s="73"/>
    </row>
    <row r="11" spans="1:5" x14ac:dyDescent="0.25">
      <c r="A11" s="73" t="s">
        <v>79</v>
      </c>
      <c r="B11" s="69">
        <v>0</v>
      </c>
      <c r="C11" s="69">
        <v>20000</v>
      </c>
      <c r="D11" s="76">
        <v>1.4E-2</v>
      </c>
      <c r="E11" s="69">
        <v>0</v>
      </c>
    </row>
    <row r="12" spans="1:5" x14ac:dyDescent="0.25">
      <c r="B12" s="69">
        <f t="shared" ref="B12:B18" si="1">C11+1</f>
        <v>20001</v>
      </c>
      <c r="C12" s="69">
        <v>50000</v>
      </c>
      <c r="D12" s="76">
        <v>1.7500000000000002E-2</v>
      </c>
      <c r="E12" s="70">
        <f>(C11-B11)*D11+SUM(E$11:E11)</f>
        <v>280</v>
      </c>
    </row>
    <row r="13" spans="1:5" x14ac:dyDescent="0.25">
      <c r="B13" s="69">
        <f t="shared" si="1"/>
        <v>50001</v>
      </c>
      <c r="C13" s="69">
        <v>70000</v>
      </c>
      <c r="D13" s="76">
        <v>2.4500000000000001E-2</v>
      </c>
      <c r="E13" s="70">
        <f>(C12-B12)*D12+SUM(E$11:E12)</f>
        <v>804.98250000000007</v>
      </c>
    </row>
    <row r="14" spans="1:5" x14ac:dyDescent="0.25">
      <c r="B14" s="69">
        <f t="shared" si="1"/>
        <v>70001</v>
      </c>
      <c r="C14" s="69">
        <v>80000</v>
      </c>
      <c r="D14" s="76">
        <v>3.5000000000000003E-2</v>
      </c>
      <c r="E14" s="70">
        <f>(C13-B13)*D13+SUM(E$11:E13)</f>
        <v>1574.9580000000001</v>
      </c>
    </row>
    <row r="15" spans="1:5" x14ac:dyDescent="0.25">
      <c r="B15" s="69">
        <f t="shared" si="1"/>
        <v>80001</v>
      </c>
      <c r="C15" s="69">
        <v>150000</v>
      </c>
      <c r="D15" s="76">
        <v>5.525E-2</v>
      </c>
      <c r="E15" s="70">
        <f>(C14-B14)*D14+SUM(E$11:E14)</f>
        <v>3009.9055000000003</v>
      </c>
    </row>
    <row r="16" spans="1:5" x14ac:dyDescent="0.25">
      <c r="B16" s="69">
        <f t="shared" si="1"/>
        <v>150001</v>
      </c>
      <c r="C16" s="69">
        <v>500000</v>
      </c>
      <c r="D16" s="76">
        <v>6.3700000000000007E-2</v>
      </c>
      <c r="E16" s="70">
        <f>(C15-B15)*D15+SUM(E$11:E15)</f>
        <v>9537.2907500000001</v>
      </c>
    </row>
    <row r="17" spans="2:5" x14ac:dyDescent="0.25">
      <c r="B17" s="69">
        <f t="shared" si="1"/>
        <v>500001</v>
      </c>
      <c r="C17" s="69">
        <v>5000000</v>
      </c>
      <c r="D17" s="76">
        <v>8.9700000000000002E-2</v>
      </c>
      <c r="E17" s="70">
        <f>(C16-B16)*D16+SUM(E$11:E16)</f>
        <v>37502.073050000006</v>
      </c>
    </row>
    <row r="18" spans="2:5" x14ac:dyDescent="0.25">
      <c r="B18" s="69">
        <f t="shared" si="1"/>
        <v>5000001</v>
      </c>
      <c r="C18" s="71">
        <v>1000000000</v>
      </c>
      <c r="D18" s="76">
        <v>0.1075</v>
      </c>
      <c r="E18" s="70">
        <f>(C17-B17)*D17+SUM(E$11:E17)</f>
        <v>456359.1201</v>
      </c>
    </row>
  </sheetData>
  <mergeCells count="1">
    <mergeCell ref="B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Monthly Budget</vt:lpstr>
      <vt:lpstr>INPUTS</vt:lpstr>
      <vt:lpstr>Extended Expenses</vt:lpstr>
      <vt:lpstr>Extended Savings</vt:lpstr>
      <vt:lpstr>Extended Investments</vt:lpstr>
      <vt:lpstr>Housing Expenses</vt:lpstr>
      <vt:lpstr>Auto Expenses</vt:lpstr>
      <vt:lpstr>Food Expenses</vt:lpstr>
      <vt:lpstr>Entertainment Expenses</vt:lpstr>
      <vt:lpstr>Personal Care Expenses</vt:lpstr>
      <vt:lpstr>Pet Expenses</vt:lpstr>
      <vt:lpstr>Education Expenses</vt:lpstr>
      <vt:lpstr>Gift Expenses</vt:lpstr>
      <vt:lpstr>Major Expenses</vt:lpstr>
      <vt:lpstr>Federal Tax</vt:lpstr>
      <vt:lpstr>FICA Tax</vt:lpstr>
      <vt:lpstr>NJ Tax</vt:lpstr>
      <vt:lpstr>Accounts</vt:lpstr>
      <vt:lpstr>Investing</vt:lpstr>
      <vt:lpstr>Savings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Thornton, Richard B [US] (MS)</dc:creator>
  <cp:lastModifiedBy>Richard Thornton</cp:lastModifiedBy>
  <dcterms:created xsi:type="dcterms:W3CDTF">2018-10-22T12:25:16Z</dcterms:created>
  <dcterms:modified xsi:type="dcterms:W3CDTF">2021-02-07T16:55:32Z</dcterms:modified>
</cp:coreProperties>
</file>